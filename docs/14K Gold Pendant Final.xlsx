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laragon\www\goldmatrix\docs\"/>
    </mc:Choice>
  </mc:AlternateContent>
  <xr:revisionPtr revIDLastSave="0" documentId="13_ncr:1_{B50EC68A-3F15-4DF4-BA91-95125DD51E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ock import" sheetId="1" r:id="rId1"/>
    <sheet name="ListValues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O3" i="1"/>
  <c r="Q2" i="1"/>
  <c r="O2" i="1"/>
</calcChain>
</file>

<file path=xl/sharedStrings.xml><?xml version="1.0" encoding="utf-8"?>
<sst xmlns="http://schemas.openxmlformats.org/spreadsheetml/2006/main" count="131" uniqueCount="120">
  <si>
    <t>Images</t>
  </si>
  <si>
    <t>Id</t>
  </si>
  <si>
    <t>RFIDCode</t>
  </si>
  <si>
    <t>Voucher Type</t>
  </si>
  <si>
    <t>Photo</t>
  </si>
  <si>
    <t>Barcode</t>
  </si>
  <si>
    <t>Design No</t>
  </si>
  <si>
    <t>HUID No</t>
  </si>
  <si>
    <t>Category</t>
  </si>
  <si>
    <t>Calculation</t>
  </si>
  <si>
    <t>Product</t>
  </si>
  <si>
    <t>Location</t>
  </si>
  <si>
    <t>Pkt. Wt.</t>
  </si>
  <si>
    <t>PKt. Less Wt.</t>
  </si>
  <si>
    <t>Gross Wt.</t>
  </si>
  <si>
    <t>Carat</t>
  </si>
  <si>
    <t>D.Weight</t>
  </si>
  <si>
    <t>Net Wt.</t>
  </si>
  <si>
    <t>Quantity</t>
  </si>
  <si>
    <t>Rate</t>
  </si>
  <si>
    <t>Amount</t>
  </si>
  <si>
    <t>Metal Qty</t>
  </si>
  <si>
    <t>Weight</t>
  </si>
  <si>
    <t>Purity %</t>
  </si>
  <si>
    <t>Purity Wt</t>
  </si>
  <si>
    <t>Loss Wt.</t>
  </si>
  <si>
    <t>Loss Wt. Per</t>
  </si>
  <si>
    <t>Loss Value</t>
  </si>
  <si>
    <t>Wastage Per</t>
  </si>
  <si>
    <t>Wastage Wt</t>
  </si>
  <si>
    <t>Metal Rate</t>
  </si>
  <si>
    <t>Metal Value</t>
  </si>
  <si>
    <t>Metal Cost</t>
  </si>
  <si>
    <t>Requested Purity</t>
  </si>
  <si>
    <t>Requested</t>
  </si>
  <si>
    <t>Setting Charge</t>
  </si>
  <si>
    <t>Final Wt.</t>
  </si>
  <si>
    <t>Alloy Wt.</t>
  </si>
  <si>
    <t>Discount Type</t>
  </si>
  <si>
    <t>Discount Per.</t>
  </si>
  <si>
    <t>Discount Amount</t>
  </si>
  <si>
    <t>Discount</t>
  </si>
  <si>
    <t>Making Type</t>
  </si>
  <si>
    <t>Making Rate</t>
  </si>
  <si>
    <t>Making Discount Amt.</t>
  </si>
  <si>
    <t>Making Amount</t>
  </si>
  <si>
    <t>Making Actual Value</t>
  </si>
  <si>
    <t>Making Cost</t>
  </si>
  <si>
    <t>Minimum</t>
  </si>
  <si>
    <t>Minimum Price</t>
  </si>
  <si>
    <t>Minimum Code</t>
  </si>
  <si>
    <t>Stone Charge Type</t>
  </si>
  <si>
    <t>Stone Rate</t>
  </si>
  <si>
    <t>Stone Amount</t>
  </si>
  <si>
    <t>Stone Cost</t>
  </si>
  <si>
    <t>Diamond Amount</t>
  </si>
  <si>
    <t>Purchase Amount</t>
  </si>
  <si>
    <t>Sale Percentages</t>
  </si>
  <si>
    <t>Sale Amount</t>
  </si>
  <si>
    <t>Sale Amount With Tax</t>
  </si>
  <si>
    <t>Net Amt</t>
  </si>
  <si>
    <t>Tax Type</t>
  </si>
  <si>
    <t>Tax %</t>
  </si>
  <si>
    <t>Tax</t>
  </si>
  <si>
    <t>Other Charge Type</t>
  </si>
  <si>
    <t>Other Weight</t>
  </si>
  <si>
    <t>Other Rate</t>
  </si>
  <si>
    <t>Other Info</t>
  </si>
  <si>
    <t>Other Amount</t>
  </si>
  <si>
    <t>Certificate Amount</t>
  </si>
  <si>
    <t>Certificate No.</t>
  </si>
  <si>
    <t>Certificate Link</t>
  </si>
  <si>
    <t>Video Link</t>
  </si>
  <si>
    <t>Cut</t>
  </si>
  <si>
    <t>Color</t>
  </si>
  <si>
    <t>Seive</t>
  </si>
  <si>
    <t>Size</t>
  </si>
  <si>
    <t>Shape</t>
  </si>
  <si>
    <t>Clarity</t>
  </si>
  <si>
    <t>Unit Price</t>
  </si>
  <si>
    <t>Hallmark</t>
  </si>
  <si>
    <t>Hallmark Amount</t>
  </si>
  <si>
    <t>Hallmark Rate</t>
  </si>
  <si>
    <t>Net Amt+Tax</t>
  </si>
  <si>
    <t>Reverse</t>
  </si>
  <si>
    <t>Product Name</t>
  </si>
  <si>
    <t>Product ID</t>
  </si>
  <si>
    <t>Characteristic ID</t>
  </si>
  <si>
    <t>14K GOLD PENDANT</t>
  </si>
  <si>
    <t>18K</t>
  </si>
  <si>
    <t>Carat X Rate</t>
  </si>
  <si>
    <t>18K WHITE GOLD PENDANT 65PCS - Diamond &amp; Stones</t>
  </si>
  <si>
    <t>24K</t>
  </si>
  <si>
    <t>Fix</t>
  </si>
  <si>
    <t>Tax on making</t>
  </si>
  <si>
    <t>Rate X Gross Wt</t>
  </si>
  <si>
    <t>22K</t>
  </si>
  <si>
    <t>On Amount</t>
  </si>
  <si>
    <t>Per Gram</t>
  </si>
  <si>
    <t>Tax of net amount</t>
  </si>
  <si>
    <t>Percentage</t>
  </si>
  <si>
    <t>Rate X Purity Wt</t>
  </si>
  <si>
    <t>21K</t>
  </si>
  <si>
    <t>On Making Amount</t>
  </si>
  <si>
    <t>Per Piece</t>
  </si>
  <si>
    <t>No tax</t>
  </si>
  <si>
    <t>Rate X Net Wt</t>
  </si>
  <si>
    <t>On Diamond Amount</t>
  </si>
  <si>
    <t>Per Kilogram</t>
  </si>
  <si>
    <t>Rate X Final Wt</t>
  </si>
  <si>
    <t>On Stone Amount</t>
  </si>
  <si>
    <t>Per Percent</t>
  </si>
  <si>
    <t>On Net Amount</t>
  </si>
  <si>
    <t>MRP</t>
  </si>
  <si>
    <t>Stone Charge</t>
  </si>
  <si>
    <t>On Percentage</t>
  </si>
  <si>
    <t>M.KT</t>
  </si>
  <si>
    <t>Attach Image Type</t>
  </si>
  <si>
    <t>PD28</t>
  </si>
  <si>
    <t>PD29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</si>
</sst>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0"/>
      <name val="MS Sans Serif"/>
      <charset val="134"/>
    </font>
  </fonts>
  <fills count="4">
    <fill>
      <patternFill patternType="none"/>
    </fill>
    <fill>
      <patternFill patternType="gray125"/>
    </fill>
    <fill>
      <patternFill patternType="solid">
        <fgColor rgb="FFE2E8F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Protection="1">
      <protection locked="0"/>
    </xf>
    <xf numFmtId="0" fontId="2" fillId="3" borderId="0" xfId="0" applyFont="1" applyFill="1"/>
    <xf numFmtId="4" fontId="2" fillId="0" borderId="0" xfId="0" applyNumberFormat="1" applyFont="1" applyProtection="1">
      <protection locked="0"/>
    </xf>
  </cellXfs>
  <cellStyles count="1">
    <cellStyle name="Normal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3"/>
  <sheetViews>
    <sheetView tabSelected="1" topLeftCell="K1" workbookViewId="0">
      <pane ySplit="1" topLeftCell="A2" activePane="bottomLeft" state="frozen"/>
      <selection pane="bottomLeft" activeCell="S4" sqref="S4"/>
    </sheetView>
  </sheetViews>
  <sheetFormatPr defaultColWidth="9" defaultRowHeight="14.4"/>
  <cols>
    <col min="1" max="1" width="56.5546875" customWidth="1"/>
    <col min="2" max="2" width="5.6640625" customWidth="1"/>
    <col min="3" max="3" width="12.88671875" customWidth="1"/>
    <col min="4" max="4" width="17.5546875" customWidth="1"/>
    <col min="5" max="5" width="9.21875" customWidth="1"/>
    <col min="6" max="6" width="11.5546875" customWidth="1"/>
    <col min="7" max="7" width="14" customWidth="1"/>
    <col min="8" max="8" width="11.5546875" customWidth="1"/>
    <col min="9" max="9" width="12.88671875" customWidth="1"/>
    <col min="10" max="10" width="16.21875" customWidth="1"/>
    <col min="11" max="11" width="56.5546875" customWidth="1"/>
    <col min="12" max="13" width="12.88671875" customWidth="1"/>
    <col min="14" max="14" width="18.6640625" customWidth="1"/>
    <col min="15" max="15" width="14" customWidth="1"/>
    <col min="16" max="16" width="9.21875" customWidth="1"/>
    <col min="17" max="17" width="12.88671875" customWidth="1"/>
    <col min="18" max="18" width="11.5546875" customWidth="1"/>
    <col min="19" max="19" width="12.88671875" customWidth="1"/>
    <col min="20" max="20" width="8.109375" customWidth="1"/>
    <col min="21" max="21" width="10.44140625" customWidth="1"/>
    <col min="22" max="22" width="14" customWidth="1"/>
    <col min="23" max="23" width="10.44140625" customWidth="1"/>
    <col min="24" max="24" width="9.21875" customWidth="1"/>
    <col min="25" max="25" width="12.88671875" customWidth="1"/>
    <col min="26" max="26" width="14" customWidth="1"/>
    <col min="27" max="27" width="12.88671875" customWidth="1"/>
    <col min="28" max="28" width="17.5546875" customWidth="1"/>
    <col min="29" max="29" width="15.109375" customWidth="1"/>
    <col min="30" max="30" width="16.21875" customWidth="1"/>
    <col min="31" max="32" width="15.109375" customWidth="1"/>
    <col min="33" max="33" width="16.21875" customWidth="1"/>
    <col min="34" max="34" width="15.109375" customWidth="1"/>
    <col min="35" max="35" width="22.21875" customWidth="1"/>
    <col min="36" max="36" width="14" customWidth="1"/>
    <col min="37" max="37" width="19.88671875" customWidth="1"/>
    <col min="38" max="39" width="14" customWidth="1"/>
    <col min="40" max="41" width="18.6640625" customWidth="1"/>
    <col min="42" max="42" width="21" customWidth="1"/>
    <col min="43" max="43" width="12.88671875" customWidth="1"/>
    <col min="44" max="45" width="16.21875" customWidth="1"/>
    <col min="46" max="46" width="27" customWidth="1"/>
    <col min="47" max="47" width="18.6640625" customWidth="1"/>
    <col min="48" max="48" width="25.6640625" customWidth="1"/>
    <col min="49" max="49" width="16.21875" customWidth="1"/>
    <col min="50" max="50" width="11.5546875" customWidth="1"/>
    <col min="51" max="51" width="18.6640625" customWidth="1"/>
    <col min="52" max="52" width="17.5546875" customWidth="1"/>
    <col min="53" max="53" width="23.44140625" customWidth="1"/>
    <col min="54" max="54" width="15.109375" customWidth="1"/>
    <col min="55" max="55" width="17.5546875" customWidth="1"/>
    <col min="56" max="56" width="15.109375" customWidth="1"/>
    <col min="57" max="57" width="19.88671875" customWidth="1"/>
    <col min="58" max="58" width="21" customWidth="1"/>
    <col min="59" max="59" width="22.21875" customWidth="1"/>
    <col min="60" max="60" width="16.21875" customWidth="1"/>
    <col min="61" max="61" width="27" customWidth="1"/>
    <col min="62" max="62" width="11.5546875" customWidth="1"/>
    <col min="63" max="63" width="12.88671875" customWidth="1"/>
    <col min="64" max="64" width="9.21875" customWidth="1"/>
    <col min="65" max="65" width="6.88671875" customWidth="1"/>
    <col min="66" max="66" width="23.44140625" customWidth="1"/>
    <col min="67" max="67" width="17.5546875" customWidth="1"/>
    <col min="68" max="69" width="15.109375" customWidth="1"/>
    <col min="70" max="70" width="17.5546875" customWidth="1"/>
    <col min="71" max="71" width="24.5546875" customWidth="1"/>
    <col min="72" max="72" width="21" customWidth="1"/>
    <col min="73" max="73" width="22.21875" customWidth="1"/>
    <col min="74" max="74" width="15.109375" customWidth="1"/>
    <col min="75" max="75" width="6.88671875" customWidth="1"/>
    <col min="76" max="77" width="9.21875" customWidth="1"/>
    <col min="78" max="78" width="8.109375" customWidth="1"/>
    <col min="79" max="79" width="9.21875" customWidth="1"/>
    <col min="80" max="80" width="11.5546875" customWidth="1"/>
    <col min="81" max="81" width="15.109375" customWidth="1"/>
    <col min="82" max="82" width="12.88671875" customWidth="1"/>
    <col min="83" max="83" width="21" customWidth="1"/>
    <col min="84" max="84" width="18.6640625" customWidth="1"/>
    <col min="85" max="85" width="16.21875" customWidth="1"/>
    <col min="86" max="86" width="11.5546875" customWidth="1"/>
    <col min="87" max="87" width="34.109375" customWidth="1"/>
    <col min="88" max="88" width="15.109375" customWidth="1"/>
    <col min="89" max="89" width="23.44140625" customWidth="1"/>
  </cols>
  <sheetData>
    <row r="1" spans="1:89" ht="28.0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15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 ht="31.95" customHeight="1">
      <c r="F2" s="2" t="s">
        <v>118</v>
      </c>
      <c r="K2" s="2" t="s">
        <v>88</v>
      </c>
      <c r="O2" s="3">
        <f>Q2+R2</f>
        <v>3.36</v>
      </c>
      <c r="P2" s="4">
        <v>0.9</v>
      </c>
      <c r="Q2">
        <f>P2/5</f>
        <v>0.18</v>
      </c>
      <c r="R2" s="4">
        <v>3.18</v>
      </c>
      <c r="S2">
        <v>1</v>
      </c>
      <c r="V2">
        <v>1</v>
      </c>
      <c r="W2" s="4">
        <v>3.18</v>
      </c>
      <c r="X2" t="s">
        <v>89</v>
      </c>
      <c r="Y2">
        <v>0.75</v>
      </c>
      <c r="AA2">
        <v>0</v>
      </c>
      <c r="BF2" s="4">
        <v>730</v>
      </c>
      <c r="BG2" s="4"/>
      <c r="BH2" s="4">
        <v>5110</v>
      </c>
      <c r="CI2" t="s">
        <v>88</v>
      </c>
      <c r="CJ2">
        <v>2</v>
      </c>
      <c r="CK2">
        <v>4</v>
      </c>
    </row>
    <row r="3" spans="1:89">
      <c r="F3" s="2" t="s">
        <v>119</v>
      </c>
      <c r="K3" s="2" t="s">
        <v>88</v>
      </c>
      <c r="O3" s="3">
        <f>Q3+R3</f>
        <v>3.1053999999999999</v>
      </c>
      <c r="P3" s="4">
        <v>0.72699999999999998</v>
      </c>
      <c r="Q3">
        <f>P3/5</f>
        <v>0.1454</v>
      </c>
      <c r="R3" s="4">
        <v>2.96</v>
      </c>
      <c r="S3">
        <v>1</v>
      </c>
      <c r="V3">
        <v>1</v>
      </c>
      <c r="W3" s="4">
        <v>2.96</v>
      </c>
      <c r="X3" t="s">
        <v>89</v>
      </c>
      <c r="Y3">
        <v>0.75</v>
      </c>
      <c r="AA3">
        <v>0</v>
      </c>
      <c r="BF3" s="4">
        <v>730</v>
      </c>
      <c r="BG3" s="4"/>
      <c r="BH3" s="4">
        <v>5110</v>
      </c>
      <c r="CI3" t="s">
        <v>88</v>
      </c>
      <c r="CJ3">
        <v>2</v>
      </c>
      <c r="CK3">
        <v>4</v>
      </c>
    </row>
  </sheetData>
  <conditionalFormatting sqref="K2:K3">
    <cfRule type="duplicateValues" dxfId="0" priority="1"/>
  </conditionalFormatting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errorTitle="Value not in list" error="Choose from the list, or clear the cell." promptTitle="Allowed values" prompt="Options match the Stock Journal product opening form (same masters as the page)." xr:uid="{00000000-0002-0000-0000-000000000000}">
          <x14:formula1>
            <xm:f>ListValues!$A$1:$A$8</xm:f>
          </x14:formula1>
          <xm:sqref>J2:J5000</xm:sqref>
        </x14:dataValidation>
        <x14:dataValidation type="list" allowBlank="1" showInputMessage="1" showErrorMessage="1" errorTitle="Value not in list" error="Choose from the list, or clear the cell." promptTitle="Allowed values" prompt="Options match the Stock Journal product opening form (same masters as the page)." xr:uid="{00000000-0002-0000-0000-000001000000}">
          <x14:formula1>
            <xm:f>ListValues!$B$1:$B$1</xm:f>
          </x14:formula1>
          <xm:sqref>K4:K5000</xm:sqref>
        </x14:dataValidation>
        <x14:dataValidation type="list" allowBlank="1" showInputMessage="1" showErrorMessage="1" errorTitle="Value not in list" error="Choose from the list, or clear the cell." promptTitle="Allowed values" prompt="Options match the Stock Journal product opening form (same masters as the page)." xr:uid="{00000000-0002-0000-0000-000002000000}">
          <x14:formula1>
            <xm:f>ListValues!$C$1:$C$4</xm:f>
          </x14:formula1>
          <xm:sqref>X4:X5000</xm:sqref>
        </x14:dataValidation>
        <x14:dataValidation type="list" allowBlank="1" showInputMessage="1" showErrorMessage="1" errorTitle="Value not in list" error="Choose from the list, or clear the cell." promptTitle="Allowed values" prompt="Options match the Stock Journal product opening form (same masters as the page)." xr:uid="{00000000-0002-0000-0000-000003000000}">
          <x14:formula1>
            <xm:f>ListValues!$D$1:$D$7</xm:f>
          </x14:formula1>
          <xm:sqref>AN4:AN5000</xm:sqref>
        </x14:dataValidation>
        <x14:dataValidation type="list" allowBlank="1" showInputMessage="1" showErrorMessage="1" errorTitle="Value not in list" error="Choose from the list, or clear the cell." promptTitle="Allowed values" prompt="Options match the Stock Journal product opening form (same masters as the page)." xr:uid="{00000000-0002-0000-0000-000004000000}">
          <x14:formula1>
            <xm:f>ListValues!$E$1:$E$7</xm:f>
          </x14:formula1>
          <xm:sqref>AR4:AR5000</xm:sqref>
        </x14:dataValidation>
        <x14:dataValidation type="list" allowBlank="1" showInputMessage="1" showErrorMessage="1" errorTitle="Value not in list" error="Choose from the list, or clear the cell." promptTitle="Allowed values" prompt="Options match the Stock Journal product opening form (same masters as the page)." xr:uid="{00000000-0002-0000-0000-000005000000}">
          <x14:formula1>
            <xm:f>ListValues!$F$1:$F$2</xm:f>
          </x14:formula1>
          <xm:sqref>BA4:BA5000</xm:sqref>
        </x14:dataValidation>
        <x14:dataValidation type="list" allowBlank="1" showInputMessage="1" showErrorMessage="1" errorTitle="Value not in list" error="Choose from the list, or clear the cell." promptTitle="Allowed values" prompt="Options match the Stock Journal product opening form (same masters as the page)." xr:uid="{00000000-0002-0000-0000-000006000000}">
          <x14:formula1>
            <xm:f>ListValues!$G$1:$G$3</xm:f>
          </x14:formula1>
          <xm:sqref>BK4:BK5000</xm:sqref>
        </x14:dataValidation>
        <x14:dataValidation type="list" allowBlank="1" showInputMessage="1" showErrorMessage="1" errorTitle="Value not in list" error="Choose from the list, or clear the cell." promptTitle="Allowed values" prompt="Options match the Stock Journal product opening form (same masters as the page)." xr:uid="{00000000-0002-0000-0000-000007000000}">
          <x14:formula1>
            <xm:f>ListValues!$H$1:$H$2</xm:f>
          </x14:formula1>
          <xm:sqref>BN4:BN5000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workbookViewId="0"/>
  </sheetViews>
  <sheetFormatPr defaultColWidth="9" defaultRowHeight="14.4"/>
  <sheetData>
    <row r="1" spans="1:8">
      <c r="A1" t="s">
        <v>90</v>
      </c>
      <c r="B1" t="s">
        <v>91</v>
      </c>
      <c r="C1" t="s">
        <v>92</v>
      </c>
      <c r="D1" t="s">
        <v>93</v>
      </c>
      <c r="E1" t="s">
        <v>93</v>
      </c>
      <c r="F1" t="s">
        <v>93</v>
      </c>
      <c r="G1" t="s">
        <v>94</v>
      </c>
      <c r="H1" t="s">
        <v>93</v>
      </c>
    </row>
    <row r="2" spans="1:8">
      <c r="A2" t="s">
        <v>95</v>
      </c>
      <c r="C2" t="s">
        <v>96</v>
      </c>
      <c r="D2" t="s">
        <v>97</v>
      </c>
      <c r="E2" t="s">
        <v>98</v>
      </c>
      <c r="F2" t="s">
        <v>98</v>
      </c>
      <c r="G2" t="s">
        <v>99</v>
      </c>
      <c r="H2" t="s">
        <v>100</v>
      </c>
    </row>
    <row r="3" spans="1:8">
      <c r="A3" t="s">
        <v>101</v>
      </c>
      <c r="C3" t="s">
        <v>102</v>
      </c>
      <c r="D3" t="s">
        <v>103</v>
      </c>
      <c r="E3" t="s">
        <v>104</v>
      </c>
      <c r="G3" t="s">
        <v>105</v>
      </c>
    </row>
    <row r="4" spans="1:8">
      <c r="A4" t="s">
        <v>106</v>
      </c>
      <c r="C4" t="s">
        <v>89</v>
      </c>
      <c r="D4" t="s">
        <v>107</v>
      </c>
      <c r="E4" t="s">
        <v>108</v>
      </c>
    </row>
    <row r="5" spans="1:8">
      <c r="A5" t="s">
        <v>109</v>
      </c>
      <c r="D5" t="s">
        <v>110</v>
      </c>
      <c r="E5" t="s">
        <v>111</v>
      </c>
    </row>
    <row r="6" spans="1:8">
      <c r="A6" t="s">
        <v>93</v>
      </c>
      <c r="D6" t="s">
        <v>112</v>
      </c>
      <c r="E6" t="s">
        <v>113</v>
      </c>
    </row>
    <row r="7" spans="1:8">
      <c r="A7" t="s">
        <v>114</v>
      </c>
      <c r="D7" t="s">
        <v>115</v>
      </c>
      <c r="E7" t="s">
        <v>116</v>
      </c>
    </row>
    <row r="8" spans="1:8">
      <c r="A8" t="s">
        <v>117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 import</vt:lpstr>
      <vt:lpstr>ListValues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Rajat Dhanwalkar</cp:lastModifiedBy>
  <dcterms:created xsi:type="dcterms:W3CDTF">2026-09-12T15:11:00Z</dcterms:created>
  <dcterms:modified xsi:type="dcterms:W3CDTF">2026-09-15T08:30:46Z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B1FB23C4E4FC435A925D3811C1DD9242_13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