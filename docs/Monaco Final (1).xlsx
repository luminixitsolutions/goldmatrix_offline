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itr\Downloads\"/>
    </mc:Choice>
  </mc:AlternateContent>
  <xr:revisionPtr revIDLastSave="0" documentId="13_ncr:1_{C7964296-77E8-4641-9DAC-9ED21E2C48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ck import" sheetId="1" r:id="rId1"/>
    <sheet name="ListValues" sheetId="2" state="hidden" r:id="rId2"/>
  </sheets>
  <definedNames>
    <definedName name="_xlnm._FilterDatabase" localSheetId="0" hidden="1">'Stock import'!$A$1:$CK$607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07" i="1" l="1"/>
  <c r="O607" i="1" s="1"/>
  <c r="Q606" i="1"/>
  <c r="O606" i="1" s="1"/>
  <c r="Q605" i="1"/>
  <c r="O605" i="1" s="1"/>
  <c r="Q604" i="1"/>
  <c r="O604" i="1" s="1"/>
  <c r="Q603" i="1"/>
  <c r="O603" i="1" s="1"/>
  <c r="Q602" i="1"/>
  <c r="O602" i="1" s="1"/>
  <c r="Q601" i="1"/>
  <c r="O601" i="1" s="1"/>
  <c r="Q600" i="1"/>
  <c r="O600" i="1" s="1"/>
  <c r="Q599" i="1"/>
  <c r="O599" i="1" s="1"/>
  <c r="Q598" i="1"/>
  <c r="O598" i="1" s="1"/>
  <c r="Q597" i="1"/>
  <c r="O597" i="1" s="1"/>
  <c r="Q596" i="1"/>
  <c r="O596" i="1" s="1"/>
  <c r="Q595" i="1"/>
  <c r="O595" i="1" s="1"/>
  <c r="Q594" i="1"/>
  <c r="O594" i="1" s="1"/>
  <c r="Q593" i="1"/>
  <c r="O593" i="1" s="1"/>
  <c r="Q592" i="1"/>
  <c r="O592" i="1" s="1"/>
  <c r="Q591" i="1"/>
  <c r="O591" i="1" s="1"/>
  <c r="Q590" i="1"/>
  <c r="O590" i="1" s="1"/>
  <c r="Q589" i="1"/>
  <c r="O589" i="1" s="1"/>
  <c r="Q588" i="1"/>
  <c r="O588" i="1" s="1"/>
  <c r="Q587" i="1"/>
  <c r="O587" i="1" s="1"/>
  <c r="Q586" i="1"/>
  <c r="O586" i="1" s="1"/>
  <c r="Q585" i="1"/>
  <c r="O585" i="1" s="1"/>
  <c r="Q584" i="1"/>
  <c r="O584" i="1" s="1"/>
  <c r="Q583" i="1"/>
  <c r="O583" i="1" s="1"/>
  <c r="Q582" i="1"/>
  <c r="O582" i="1" s="1"/>
  <c r="Q581" i="1"/>
  <c r="O581" i="1" s="1"/>
  <c r="Q580" i="1"/>
  <c r="O580" i="1" s="1"/>
  <c r="Q579" i="1"/>
  <c r="O579" i="1" s="1"/>
  <c r="Q578" i="1"/>
  <c r="O578" i="1" s="1"/>
  <c r="Q577" i="1"/>
  <c r="O577" i="1" s="1"/>
  <c r="Q576" i="1"/>
  <c r="O576" i="1" s="1"/>
  <c r="Q575" i="1"/>
  <c r="O575" i="1" s="1"/>
  <c r="Q574" i="1"/>
  <c r="O574" i="1" s="1"/>
  <c r="Q573" i="1"/>
  <c r="O573" i="1" s="1"/>
  <c r="Q572" i="1"/>
  <c r="O572" i="1" s="1"/>
  <c r="Q571" i="1"/>
  <c r="O571" i="1" s="1"/>
  <c r="Q570" i="1"/>
  <c r="O570" i="1" s="1"/>
  <c r="Q569" i="1"/>
  <c r="O569" i="1" s="1"/>
  <c r="Q568" i="1"/>
  <c r="O568" i="1" s="1"/>
  <c r="Q567" i="1"/>
  <c r="O567" i="1" s="1"/>
  <c r="Q566" i="1"/>
  <c r="O566" i="1" s="1"/>
  <c r="Q565" i="1"/>
  <c r="O565" i="1" s="1"/>
  <c r="Q564" i="1"/>
  <c r="O564" i="1" s="1"/>
  <c r="Q563" i="1"/>
  <c r="O563" i="1" s="1"/>
  <c r="Q562" i="1"/>
  <c r="O562" i="1" s="1"/>
  <c r="Q561" i="1"/>
  <c r="O561" i="1" s="1"/>
  <c r="Q560" i="1"/>
  <c r="O560" i="1" s="1"/>
  <c r="Q559" i="1"/>
  <c r="O559" i="1" s="1"/>
  <c r="Q558" i="1"/>
  <c r="O558" i="1" s="1"/>
  <c r="Q557" i="1"/>
  <c r="O557" i="1" s="1"/>
  <c r="Q556" i="1"/>
  <c r="O556" i="1" s="1"/>
  <c r="Q555" i="1"/>
  <c r="O555" i="1" s="1"/>
  <c r="Q554" i="1"/>
  <c r="O554" i="1" s="1"/>
  <c r="Q553" i="1"/>
  <c r="O553" i="1" s="1"/>
  <c r="Q552" i="1"/>
  <c r="O552" i="1" s="1"/>
  <c r="Q551" i="1"/>
  <c r="O551" i="1" s="1"/>
  <c r="Q550" i="1"/>
  <c r="O550" i="1" s="1"/>
  <c r="Q549" i="1"/>
  <c r="O549" i="1" s="1"/>
  <c r="Q548" i="1"/>
  <c r="O548" i="1" s="1"/>
  <c r="Q547" i="1"/>
  <c r="O547" i="1" s="1"/>
  <c r="Q546" i="1"/>
  <c r="O546" i="1" s="1"/>
  <c r="Q545" i="1"/>
  <c r="O545" i="1" s="1"/>
  <c r="Q544" i="1"/>
  <c r="O544" i="1" s="1"/>
  <c r="Q543" i="1"/>
  <c r="O543" i="1" s="1"/>
  <c r="Q542" i="1"/>
  <c r="O542" i="1" s="1"/>
  <c r="Q541" i="1"/>
  <c r="O541" i="1" s="1"/>
  <c r="Q540" i="1"/>
  <c r="O540" i="1" s="1"/>
  <c r="Q539" i="1"/>
  <c r="O539" i="1" s="1"/>
  <c r="Q538" i="1"/>
  <c r="O538" i="1" s="1"/>
  <c r="Q537" i="1"/>
  <c r="O537" i="1" s="1"/>
  <c r="Q536" i="1"/>
  <c r="O536" i="1" s="1"/>
  <c r="Q535" i="1"/>
  <c r="O535" i="1" s="1"/>
  <c r="Q534" i="1"/>
  <c r="O534" i="1" s="1"/>
  <c r="Q533" i="1"/>
  <c r="O533" i="1" s="1"/>
  <c r="Q532" i="1"/>
  <c r="O532" i="1" s="1"/>
  <c r="Q531" i="1"/>
  <c r="O531" i="1" s="1"/>
  <c r="Q530" i="1"/>
  <c r="O530" i="1" s="1"/>
  <c r="Q529" i="1"/>
  <c r="O529" i="1" s="1"/>
  <c r="Q528" i="1"/>
  <c r="O528" i="1" s="1"/>
  <c r="Q527" i="1"/>
  <c r="O527" i="1" s="1"/>
  <c r="Q526" i="1"/>
  <c r="O526" i="1" s="1"/>
  <c r="Q525" i="1"/>
  <c r="O525" i="1" s="1"/>
  <c r="Q524" i="1"/>
  <c r="O524" i="1" s="1"/>
  <c r="Q523" i="1"/>
  <c r="O523" i="1" s="1"/>
  <c r="Q522" i="1"/>
  <c r="O522" i="1" s="1"/>
  <c r="Q521" i="1"/>
  <c r="O521" i="1" s="1"/>
  <c r="Q520" i="1"/>
  <c r="O520" i="1" s="1"/>
  <c r="Q519" i="1"/>
  <c r="O519" i="1" s="1"/>
  <c r="Q518" i="1"/>
  <c r="O518" i="1" s="1"/>
  <c r="Q517" i="1"/>
  <c r="O517" i="1" s="1"/>
  <c r="Q516" i="1"/>
  <c r="O516" i="1" s="1"/>
  <c r="Q515" i="1"/>
  <c r="O515" i="1" s="1"/>
  <c r="Q514" i="1"/>
  <c r="O514" i="1" s="1"/>
  <c r="Q513" i="1"/>
  <c r="O513" i="1" s="1"/>
  <c r="Q512" i="1"/>
  <c r="O512" i="1" s="1"/>
  <c r="Q511" i="1"/>
  <c r="O511" i="1" s="1"/>
  <c r="Q510" i="1"/>
  <c r="O510" i="1" s="1"/>
  <c r="Q509" i="1"/>
  <c r="O509" i="1" s="1"/>
  <c r="Q508" i="1"/>
  <c r="O508" i="1" s="1"/>
  <c r="Q507" i="1"/>
  <c r="O507" i="1" s="1"/>
  <c r="Q506" i="1"/>
  <c r="O506" i="1" s="1"/>
  <c r="Q505" i="1"/>
  <c r="O505" i="1" s="1"/>
  <c r="Q504" i="1"/>
  <c r="O504" i="1" s="1"/>
  <c r="Q503" i="1"/>
  <c r="O503" i="1" s="1"/>
  <c r="Q502" i="1"/>
  <c r="O502" i="1" s="1"/>
  <c r="Q501" i="1"/>
  <c r="O501" i="1" s="1"/>
  <c r="Q500" i="1"/>
  <c r="O500" i="1" s="1"/>
  <c r="Q499" i="1"/>
  <c r="O499" i="1" s="1"/>
  <c r="Q498" i="1"/>
  <c r="O498" i="1" s="1"/>
  <c r="Q497" i="1"/>
  <c r="O497" i="1" s="1"/>
  <c r="Q496" i="1"/>
  <c r="O496" i="1" s="1"/>
  <c r="Q495" i="1"/>
  <c r="O495" i="1" s="1"/>
  <c r="Q494" i="1"/>
  <c r="O494" i="1" s="1"/>
  <c r="Q493" i="1"/>
  <c r="O493" i="1" s="1"/>
  <c r="Q492" i="1"/>
  <c r="O492" i="1" s="1"/>
  <c r="Q491" i="1"/>
  <c r="O491" i="1" s="1"/>
  <c r="Q490" i="1"/>
  <c r="O490" i="1" s="1"/>
  <c r="Q489" i="1"/>
  <c r="O489" i="1" s="1"/>
  <c r="Q488" i="1"/>
  <c r="O488" i="1" s="1"/>
  <c r="Q487" i="1"/>
  <c r="O487" i="1" s="1"/>
  <c r="Q486" i="1"/>
  <c r="O486" i="1" s="1"/>
  <c r="Q485" i="1"/>
  <c r="O485" i="1" s="1"/>
  <c r="Q484" i="1"/>
  <c r="O484" i="1" s="1"/>
  <c r="Q483" i="1"/>
  <c r="O483" i="1" s="1"/>
  <c r="Q482" i="1"/>
  <c r="O482" i="1" s="1"/>
  <c r="Q481" i="1"/>
  <c r="O481" i="1" s="1"/>
  <c r="Q480" i="1"/>
  <c r="O480" i="1" s="1"/>
  <c r="Q479" i="1"/>
  <c r="O479" i="1" s="1"/>
  <c r="Q478" i="1"/>
  <c r="O478" i="1" s="1"/>
  <c r="Q477" i="1"/>
  <c r="O477" i="1" s="1"/>
  <c r="Q476" i="1"/>
  <c r="O476" i="1" s="1"/>
  <c r="Q475" i="1"/>
  <c r="O475" i="1" s="1"/>
  <c r="Q474" i="1"/>
  <c r="O474" i="1" s="1"/>
  <c r="Q473" i="1"/>
  <c r="O473" i="1" s="1"/>
  <c r="Q472" i="1"/>
  <c r="O472" i="1" s="1"/>
  <c r="Q471" i="1"/>
  <c r="O471" i="1" s="1"/>
  <c r="Q470" i="1"/>
  <c r="O470" i="1" s="1"/>
  <c r="Q469" i="1"/>
  <c r="O469" i="1" s="1"/>
  <c r="Q468" i="1"/>
  <c r="O468" i="1" s="1"/>
  <c r="Q467" i="1"/>
  <c r="O467" i="1" s="1"/>
  <c r="Q466" i="1"/>
  <c r="O466" i="1" s="1"/>
  <c r="Q465" i="1"/>
  <c r="O465" i="1" s="1"/>
  <c r="Q464" i="1"/>
  <c r="O464" i="1" s="1"/>
  <c r="Q463" i="1"/>
  <c r="O463" i="1" s="1"/>
  <c r="Q462" i="1"/>
  <c r="O462" i="1" s="1"/>
  <c r="Q461" i="1"/>
  <c r="O461" i="1" s="1"/>
  <c r="Q460" i="1"/>
  <c r="O460" i="1" s="1"/>
  <c r="Q459" i="1"/>
  <c r="O459" i="1" s="1"/>
  <c r="Q458" i="1"/>
  <c r="O458" i="1" s="1"/>
  <c r="Q457" i="1"/>
  <c r="O457" i="1" s="1"/>
  <c r="Q456" i="1"/>
  <c r="O456" i="1" s="1"/>
  <c r="Q455" i="1"/>
  <c r="O455" i="1" s="1"/>
  <c r="Q454" i="1"/>
  <c r="O454" i="1" s="1"/>
  <c r="Q453" i="1"/>
  <c r="O453" i="1" s="1"/>
  <c r="Q452" i="1"/>
  <c r="O452" i="1" s="1"/>
  <c r="Q451" i="1"/>
  <c r="O451" i="1" s="1"/>
  <c r="Q450" i="1"/>
  <c r="O450" i="1" s="1"/>
  <c r="Q449" i="1"/>
  <c r="O449" i="1" s="1"/>
  <c r="Q448" i="1"/>
  <c r="O448" i="1" s="1"/>
  <c r="Q447" i="1"/>
  <c r="O447" i="1" s="1"/>
  <c r="Q446" i="1"/>
  <c r="O446" i="1" s="1"/>
  <c r="Q445" i="1"/>
  <c r="O445" i="1" s="1"/>
  <c r="Q444" i="1"/>
  <c r="O444" i="1" s="1"/>
  <c r="Q443" i="1"/>
  <c r="O443" i="1" s="1"/>
  <c r="Q442" i="1"/>
  <c r="O442" i="1" s="1"/>
  <c r="Q441" i="1"/>
  <c r="O441" i="1" s="1"/>
  <c r="Q440" i="1"/>
  <c r="O440" i="1" s="1"/>
  <c r="Q439" i="1"/>
  <c r="O439" i="1" s="1"/>
  <c r="Q438" i="1"/>
  <c r="O438" i="1" s="1"/>
  <c r="Q437" i="1"/>
  <c r="O437" i="1" s="1"/>
  <c r="Q436" i="1"/>
  <c r="O436" i="1" s="1"/>
  <c r="Q435" i="1"/>
  <c r="O435" i="1" s="1"/>
  <c r="Q434" i="1"/>
  <c r="O434" i="1" s="1"/>
  <c r="Q433" i="1"/>
  <c r="O433" i="1" s="1"/>
  <c r="Q432" i="1"/>
  <c r="O432" i="1" s="1"/>
  <c r="Q431" i="1"/>
  <c r="O431" i="1" s="1"/>
  <c r="Q430" i="1"/>
  <c r="O430" i="1" s="1"/>
  <c r="Q429" i="1"/>
  <c r="O429" i="1" s="1"/>
  <c r="Q428" i="1"/>
  <c r="O428" i="1" s="1"/>
  <c r="Q427" i="1"/>
  <c r="O427" i="1" s="1"/>
  <c r="Q426" i="1"/>
  <c r="O426" i="1" s="1"/>
  <c r="Q425" i="1"/>
  <c r="O425" i="1" s="1"/>
  <c r="Q424" i="1"/>
  <c r="O424" i="1" s="1"/>
  <c r="Q423" i="1"/>
  <c r="O423" i="1" s="1"/>
  <c r="Q422" i="1"/>
  <c r="O422" i="1" s="1"/>
  <c r="Q421" i="1"/>
  <c r="O421" i="1" s="1"/>
  <c r="Q420" i="1"/>
  <c r="O420" i="1" s="1"/>
  <c r="Q419" i="1"/>
  <c r="O419" i="1" s="1"/>
  <c r="Q418" i="1"/>
  <c r="O418" i="1" s="1"/>
  <c r="Q417" i="1"/>
  <c r="O417" i="1" s="1"/>
  <c r="Q416" i="1"/>
  <c r="O416" i="1" s="1"/>
  <c r="Q415" i="1"/>
  <c r="O415" i="1" s="1"/>
  <c r="Q414" i="1"/>
  <c r="O414" i="1" s="1"/>
  <c r="Q413" i="1"/>
  <c r="O413" i="1" s="1"/>
  <c r="Q412" i="1"/>
  <c r="O412" i="1" s="1"/>
  <c r="Q411" i="1"/>
  <c r="O411" i="1" s="1"/>
  <c r="Q410" i="1"/>
  <c r="O410" i="1" s="1"/>
  <c r="Q409" i="1"/>
  <c r="O409" i="1" s="1"/>
  <c r="Q408" i="1"/>
  <c r="O408" i="1" s="1"/>
  <c r="Q407" i="1"/>
  <c r="O407" i="1" s="1"/>
  <c r="Q406" i="1"/>
  <c r="O406" i="1" s="1"/>
  <c r="Q405" i="1"/>
  <c r="O405" i="1" s="1"/>
  <c r="Q404" i="1"/>
  <c r="O404" i="1" s="1"/>
  <c r="Q403" i="1"/>
  <c r="O403" i="1" s="1"/>
  <c r="Q402" i="1"/>
  <c r="O402" i="1" s="1"/>
  <c r="Q401" i="1"/>
  <c r="O401" i="1" s="1"/>
  <c r="Q400" i="1"/>
  <c r="O400" i="1" s="1"/>
  <c r="Q399" i="1"/>
  <c r="O399" i="1" s="1"/>
  <c r="Q398" i="1"/>
  <c r="O398" i="1" s="1"/>
  <c r="Q397" i="1"/>
  <c r="O397" i="1" s="1"/>
  <c r="Q396" i="1"/>
  <c r="O396" i="1" s="1"/>
  <c r="Q395" i="1"/>
  <c r="O395" i="1" s="1"/>
  <c r="Q394" i="1"/>
  <c r="O394" i="1" s="1"/>
  <c r="Q393" i="1"/>
  <c r="O393" i="1" s="1"/>
  <c r="Q392" i="1"/>
  <c r="O392" i="1" s="1"/>
  <c r="Q391" i="1"/>
  <c r="O391" i="1" s="1"/>
  <c r="Q390" i="1"/>
  <c r="O390" i="1" s="1"/>
  <c r="Q389" i="1"/>
  <c r="O389" i="1" s="1"/>
  <c r="Q388" i="1"/>
  <c r="O388" i="1" s="1"/>
  <c r="Q387" i="1"/>
  <c r="O387" i="1" s="1"/>
  <c r="Q386" i="1"/>
  <c r="O386" i="1" s="1"/>
  <c r="Q385" i="1"/>
  <c r="O385" i="1" s="1"/>
  <c r="Q384" i="1"/>
  <c r="O384" i="1" s="1"/>
  <c r="Q383" i="1"/>
  <c r="O383" i="1" s="1"/>
  <c r="Q382" i="1"/>
  <c r="O382" i="1" s="1"/>
  <c r="Q381" i="1"/>
  <c r="O381" i="1" s="1"/>
  <c r="Q380" i="1"/>
  <c r="O380" i="1" s="1"/>
  <c r="Q379" i="1"/>
  <c r="O379" i="1" s="1"/>
  <c r="Q378" i="1"/>
  <c r="O378" i="1" s="1"/>
  <c r="Q377" i="1"/>
  <c r="O377" i="1" s="1"/>
  <c r="Q376" i="1"/>
  <c r="O376" i="1" s="1"/>
  <c r="Q375" i="1"/>
  <c r="O375" i="1" s="1"/>
  <c r="Q374" i="1"/>
  <c r="O374" i="1" s="1"/>
  <c r="Q373" i="1"/>
  <c r="O373" i="1" s="1"/>
  <c r="Q372" i="1"/>
  <c r="O372" i="1" s="1"/>
  <c r="Q371" i="1"/>
  <c r="O371" i="1" s="1"/>
  <c r="Q370" i="1"/>
  <c r="O370" i="1" s="1"/>
  <c r="Q369" i="1"/>
  <c r="O369" i="1" s="1"/>
  <c r="Q368" i="1"/>
  <c r="O368" i="1" s="1"/>
  <c r="Q367" i="1"/>
  <c r="O367" i="1" s="1"/>
  <c r="Q366" i="1"/>
  <c r="O366" i="1" s="1"/>
  <c r="Q365" i="1"/>
  <c r="O365" i="1" s="1"/>
  <c r="Q364" i="1"/>
  <c r="O364" i="1" s="1"/>
  <c r="Q363" i="1"/>
  <c r="O363" i="1" s="1"/>
  <c r="Q362" i="1"/>
  <c r="O362" i="1" s="1"/>
  <c r="Q361" i="1"/>
  <c r="O361" i="1" s="1"/>
  <c r="Q360" i="1"/>
  <c r="O360" i="1" s="1"/>
  <c r="Q359" i="1"/>
  <c r="O359" i="1" s="1"/>
  <c r="Q358" i="1"/>
  <c r="O358" i="1" s="1"/>
  <c r="Q357" i="1"/>
  <c r="O357" i="1" s="1"/>
  <c r="Q356" i="1"/>
  <c r="O356" i="1" s="1"/>
  <c r="Q355" i="1"/>
  <c r="O355" i="1" s="1"/>
  <c r="Q354" i="1"/>
  <c r="O354" i="1" s="1"/>
  <c r="Q353" i="1"/>
  <c r="O353" i="1" s="1"/>
  <c r="Q352" i="1"/>
  <c r="O352" i="1" s="1"/>
  <c r="Q351" i="1"/>
  <c r="O351" i="1" s="1"/>
  <c r="Q350" i="1"/>
  <c r="O350" i="1" s="1"/>
  <c r="Q349" i="1"/>
  <c r="O349" i="1" s="1"/>
  <c r="Q348" i="1"/>
  <c r="O348" i="1" s="1"/>
  <c r="Q347" i="1"/>
  <c r="O347" i="1" s="1"/>
  <c r="Q346" i="1"/>
  <c r="O346" i="1" s="1"/>
  <c r="Q345" i="1"/>
  <c r="O345" i="1" s="1"/>
  <c r="Q344" i="1"/>
  <c r="O344" i="1" s="1"/>
  <c r="Q343" i="1"/>
  <c r="O343" i="1" s="1"/>
  <c r="Q342" i="1"/>
  <c r="O342" i="1" s="1"/>
  <c r="Q341" i="1"/>
  <c r="O341" i="1" s="1"/>
  <c r="Q340" i="1"/>
  <c r="O340" i="1" s="1"/>
  <c r="Q339" i="1"/>
  <c r="O339" i="1" s="1"/>
  <c r="Q338" i="1"/>
  <c r="O338" i="1" s="1"/>
  <c r="Q337" i="1"/>
  <c r="O337" i="1" s="1"/>
  <c r="Q336" i="1"/>
  <c r="O336" i="1" s="1"/>
  <c r="Q335" i="1"/>
  <c r="O335" i="1" s="1"/>
  <c r="Q334" i="1"/>
  <c r="O334" i="1" s="1"/>
  <c r="Q333" i="1"/>
  <c r="O333" i="1" s="1"/>
  <c r="Q332" i="1"/>
  <c r="O332" i="1" s="1"/>
  <c r="Q331" i="1"/>
  <c r="O331" i="1" s="1"/>
  <c r="Q330" i="1"/>
  <c r="O330" i="1" s="1"/>
  <c r="Q329" i="1"/>
  <c r="O329" i="1" s="1"/>
  <c r="Q328" i="1"/>
  <c r="O328" i="1" s="1"/>
  <c r="Q327" i="1"/>
  <c r="O327" i="1" s="1"/>
  <c r="Q326" i="1"/>
  <c r="O326" i="1" s="1"/>
  <c r="Q325" i="1"/>
  <c r="O325" i="1" s="1"/>
  <c r="Q324" i="1"/>
  <c r="O324" i="1" s="1"/>
  <c r="Q323" i="1"/>
  <c r="O323" i="1" s="1"/>
  <c r="Q322" i="1"/>
  <c r="O322" i="1" s="1"/>
  <c r="Q321" i="1"/>
  <c r="O321" i="1" s="1"/>
  <c r="Q320" i="1"/>
  <c r="O320" i="1" s="1"/>
  <c r="Q319" i="1"/>
  <c r="O319" i="1" s="1"/>
  <c r="Q318" i="1"/>
  <c r="O318" i="1" s="1"/>
  <c r="Q317" i="1"/>
  <c r="O317" i="1" s="1"/>
  <c r="Q316" i="1"/>
  <c r="O316" i="1" s="1"/>
  <c r="Q315" i="1"/>
  <c r="O315" i="1" s="1"/>
  <c r="Q314" i="1"/>
  <c r="O314" i="1" s="1"/>
  <c r="Q313" i="1"/>
  <c r="O313" i="1" s="1"/>
  <c r="Q312" i="1"/>
  <c r="O312" i="1" s="1"/>
  <c r="Q311" i="1"/>
  <c r="O311" i="1" s="1"/>
  <c r="Q310" i="1"/>
  <c r="O310" i="1" s="1"/>
  <c r="Q309" i="1"/>
  <c r="O309" i="1" s="1"/>
  <c r="Q308" i="1"/>
  <c r="O308" i="1" s="1"/>
  <c r="Q307" i="1"/>
  <c r="O307" i="1" s="1"/>
  <c r="Q306" i="1"/>
  <c r="O306" i="1" s="1"/>
  <c r="Q305" i="1"/>
  <c r="O305" i="1" s="1"/>
  <c r="Q304" i="1"/>
  <c r="O304" i="1" s="1"/>
  <c r="Q303" i="1"/>
  <c r="O303" i="1" s="1"/>
  <c r="Q302" i="1"/>
  <c r="O302" i="1" s="1"/>
  <c r="Q301" i="1"/>
  <c r="O301" i="1" s="1"/>
  <c r="Q300" i="1"/>
  <c r="O300" i="1" s="1"/>
  <c r="Q299" i="1"/>
  <c r="O299" i="1" s="1"/>
  <c r="Q298" i="1"/>
  <c r="O298" i="1" s="1"/>
  <c r="Q297" i="1"/>
  <c r="O297" i="1" s="1"/>
  <c r="Q296" i="1"/>
  <c r="O296" i="1" s="1"/>
  <c r="Q295" i="1"/>
  <c r="O295" i="1" s="1"/>
  <c r="Q294" i="1"/>
  <c r="O294" i="1" s="1"/>
  <c r="Q293" i="1"/>
  <c r="O293" i="1" s="1"/>
  <c r="Q292" i="1"/>
  <c r="O292" i="1" s="1"/>
  <c r="Q291" i="1"/>
  <c r="O291" i="1" s="1"/>
  <c r="Q290" i="1"/>
  <c r="O290" i="1" s="1"/>
  <c r="Q289" i="1"/>
  <c r="O289" i="1" s="1"/>
  <c r="Q288" i="1"/>
  <c r="O288" i="1" s="1"/>
  <c r="Q287" i="1"/>
  <c r="O287" i="1" s="1"/>
  <c r="Q286" i="1"/>
  <c r="O286" i="1" s="1"/>
  <c r="Q285" i="1"/>
  <c r="O285" i="1" s="1"/>
  <c r="Q284" i="1"/>
  <c r="O284" i="1" s="1"/>
  <c r="Q283" i="1"/>
  <c r="O283" i="1" s="1"/>
  <c r="Q282" i="1"/>
  <c r="O282" i="1" s="1"/>
  <c r="Q281" i="1"/>
  <c r="O281" i="1" s="1"/>
  <c r="Q280" i="1"/>
  <c r="O280" i="1" s="1"/>
  <c r="Q279" i="1"/>
  <c r="O279" i="1" s="1"/>
  <c r="Q278" i="1"/>
  <c r="O278" i="1" s="1"/>
  <c r="Q277" i="1"/>
  <c r="O277" i="1" s="1"/>
  <c r="Q276" i="1"/>
  <c r="O276" i="1" s="1"/>
  <c r="Q275" i="1"/>
  <c r="O275" i="1" s="1"/>
  <c r="Q274" i="1"/>
  <c r="O274" i="1" s="1"/>
  <c r="Q273" i="1"/>
  <c r="O273" i="1" s="1"/>
  <c r="Q272" i="1"/>
  <c r="O272" i="1" s="1"/>
  <c r="Q271" i="1"/>
  <c r="O271" i="1" s="1"/>
  <c r="Q270" i="1"/>
  <c r="O270" i="1" s="1"/>
  <c r="Q269" i="1"/>
  <c r="O269" i="1" s="1"/>
  <c r="Q268" i="1"/>
  <c r="O268" i="1" s="1"/>
  <c r="Q267" i="1"/>
  <c r="O267" i="1" s="1"/>
  <c r="Q266" i="1"/>
  <c r="O266" i="1" s="1"/>
  <c r="Q265" i="1"/>
  <c r="O265" i="1" s="1"/>
  <c r="Q264" i="1"/>
  <c r="O264" i="1" s="1"/>
  <c r="Q263" i="1"/>
  <c r="O263" i="1" s="1"/>
  <c r="Q262" i="1"/>
  <c r="O262" i="1" s="1"/>
  <c r="Q261" i="1"/>
  <c r="O261" i="1" s="1"/>
  <c r="Q260" i="1"/>
  <c r="O260" i="1" s="1"/>
  <c r="Q259" i="1"/>
  <c r="O259" i="1" s="1"/>
  <c r="Q258" i="1"/>
  <c r="O258" i="1" s="1"/>
  <c r="Q257" i="1"/>
  <c r="O257" i="1" s="1"/>
  <c r="Q256" i="1"/>
  <c r="O256" i="1" s="1"/>
  <c r="Q255" i="1"/>
  <c r="O255" i="1" s="1"/>
  <c r="Q254" i="1"/>
  <c r="O254" i="1" s="1"/>
  <c r="Q253" i="1"/>
  <c r="O253" i="1" s="1"/>
  <c r="Q252" i="1"/>
  <c r="O252" i="1" s="1"/>
  <c r="Q251" i="1"/>
  <c r="O251" i="1" s="1"/>
  <c r="Q250" i="1"/>
  <c r="O250" i="1" s="1"/>
  <c r="Q249" i="1"/>
  <c r="O249" i="1" s="1"/>
  <c r="Q248" i="1"/>
  <c r="O248" i="1" s="1"/>
  <c r="Q247" i="1"/>
  <c r="O247" i="1" s="1"/>
  <c r="Q246" i="1"/>
  <c r="O246" i="1" s="1"/>
  <c r="Q245" i="1"/>
  <c r="O245" i="1" s="1"/>
  <c r="Q244" i="1"/>
  <c r="O244" i="1" s="1"/>
  <c r="Q243" i="1"/>
  <c r="O243" i="1" s="1"/>
  <c r="Q242" i="1"/>
  <c r="O242" i="1" s="1"/>
  <c r="Q241" i="1"/>
  <c r="O241" i="1" s="1"/>
  <c r="Q240" i="1"/>
  <c r="O240" i="1" s="1"/>
  <c r="Q239" i="1"/>
  <c r="O239" i="1" s="1"/>
  <c r="Q238" i="1"/>
  <c r="O238" i="1" s="1"/>
  <c r="Q237" i="1"/>
  <c r="O237" i="1" s="1"/>
  <c r="Q236" i="1"/>
  <c r="O236" i="1" s="1"/>
  <c r="Q235" i="1"/>
  <c r="O235" i="1" s="1"/>
  <c r="Q234" i="1"/>
  <c r="O234" i="1" s="1"/>
  <c r="Q233" i="1"/>
  <c r="O233" i="1" s="1"/>
  <c r="Q232" i="1"/>
  <c r="O232" i="1" s="1"/>
  <c r="Q231" i="1"/>
  <c r="O231" i="1" s="1"/>
  <c r="Q230" i="1"/>
  <c r="O230" i="1" s="1"/>
  <c r="Q229" i="1"/>
  <c r="O229" i="1" s="1"/>
  <c r="Q228" i="1"/>
  <c r="O228" i="1" s="1"/>
  <c r="Q227" i="1"/>
  <c r="O227" i="1" s="1"/>
  <c r="Q226" i="1"/>
  <c r="O226" i="1" s="1"/>
  <c r="Q225" i="1"/>
  <c r="O225" i="1" s="1"/>
  <c r="Q224" i="1"/>
  <c r="O224" i="1" s="1"/>
  <c r="Q223" i="1"/>
  <c r="O223" i="1" s="1"/>
  <c r="Q222" i="1"/>
  <c r="O222" i="1" s="1"/>
  <c r="Q221" i="1"/>
  <c r="O221" i="1" s="1"/>
  <c r="Q220" i="1"/>
  <c r="O220" i="1" s="1"/>
  <c r="Q219" i="1"/>
  <c r="O219" i="1" s="1"/>
  <c r="Q218" i="1"/>
  <c r="O218" i="1" s="1"/>
  <c r="Q217" i="1"/>
  <c r="O217" i="1" s="1"/>
  <c r="Q216" i="1"/>
  <c r="O216" i="1" s="1"/>
  <c r="Q215" i="1"/>
  <c r="O215" i="1" s="1"/>
  <c r="Q214" i="1"/>
  <c r="O214" i="1" s="1"/>
  <c r="Q213" i="1"/>
  <c r="O213" i="1" s="1"/>
  <c r="Q212" i="1"/>
  <c r="O212" i="1" s="1"/>
  <c r="Q211" i="1"/>
  <c r="O211" i="1" s="1"/>
  <c r="Q210" i="1"/>
  <c r="O210" i="1" s="1"/>
  <c r="Q209" i="1"/>
  <c r="O209" i="1" s="1"/>
  <c r="Q208" i="1"/>
  <c r="O208" i="1" s="1"/>
  <c r="Q207" i="1"/>
  <c r="O207" i="1" s="1"/>
  <c r="Q206" i="1"/>
  <c r="O206" i="1" s="1"/>
  <c r="Q205" i="1"/>
  <c r="O205" i="1" s="1"/>
  <c r="Q204" i="1"/>
  <c r="O204" i="1" s="1"/>
  <c r="Q203" i="1"/>
  <c r="O203" i="1" s="1"/>
  <c r="Q202" i="1"/>
  <c r="O202" i="1" s="1"/>
  <c r="Q201" i="1"/>
  <c r="O201" i="1" s="1"/>
  <c r="Q200" i="1"/>
  <c r="O200" i="1" s="1"/>
  <c r="Q199" i="1"/>
  <c r="O199" i="1" s="1"/>
  <c r="Q198" i="1"/>
  <c r="O198" i="1" s="1"/>
  <c r="Q197" i="1"/>
  <c r="O197" i="1" s="1"/>
  <c r="Q196" i="1"/>
  <c r="O196" i="1" s="1"/>
  <c r="Q195" i="1"/>
  <c r="O195" i="1" s="1"/>
  <c r="Q194" i="1"/>
  <c r="O194" i="1" s="1"/>
  <c r="Q193" i="1"/>
  <c r="O193" i="1" s="1"/>
  <c r="Q192" i="1"/>
  <c r="O192" i="1" s="1"/>
  <c r="Q191" i="1"/>
  <c r="O191" i="1" s="1"/>
  <c r="Q190" i="1"/>
  <c r="O190" i="1" s="1"/>
  <c r="Q189" i="1"/>
  <c r="O189" i="1" s="1"/>
  <c r="Q188" i="1"/>
  <c r="O188" i="1" s="1"/>
  <c r="Q187" i="1"/>
  <c r="O187" i="1" s="1"/>
  <c r="Q186" i="1"/>
  <c r="O186" i="1" s="1"/>
  <c r="Q185" i="1"/>
  <c r="O185" i="1" s="1"/>
  <c r="Q184" i="1"/>
  <c r="O184" i="1" s="1"/>
  <c r="Q183" i="1"/>
  <c r="O183" i="1" s="1"/>
  <c r="Q182" i="1"/>
  <c r="O182" i="1" s="1"/>
  <c r="Q181" i="1"/>
  <c r="O181" i="1" s="1"/>
  <c r="Q180" i="1"/>
  <c r="O180" i="1" s="1"/>
  <c r="Q179" i="1"/>
  <c r="O179" i="1" s="1"/>
  <c r="Q178" i="1"/>
  <c r="O178" i="1" s="1"/>
  <c r="Q177" i="1"/>
  <c r="O177" i="1" s="1"/>
  <c r="Q176" i="1"/>
  <c r="O176" i="1" s="1"/>
  <c r="Q175" i="1"/>
  <c r="O175" i="1" s="1"/>
  <c r="Q174" i="1"/>
  <c r="O174" i="1" s="1"/>
  <c r="Q173" i="1"/>
  <c r="O173" i="1" s="1"/>
  <c r="Q172" i="1"/>
  <c r="O172" i="1" s="1"/>
  <c r="Q171" i="1"/>
  <c r="O171" i="1" s="1"/>
  <c r="Q170" i="1"/>
  <c r="O170" i="1" s="1"/>
  <c r="Q169" i="1"/>
  <c r="O169" i="1" s="1"/>
  <c r="Q168" i="1"/>
  <c r="O168" i="1" s="1"/>
  <c r="Q167" i="1"/>
  <c r="O167" i="1" s="1"/>
  <c r="Q166" i="1"/>
  <c r="O166" i="1" s="1"/>
  <c r="Q165" i="1"/>
  <c r="O165" i="1" s="1"/>
  <c r="Q164" i="1"/>
  <c r="O164" i="1" s="1"/>
  <c r="Q163" i="1"/>
  <c r="O163" i="1" s="1"/>
  <c r="Q162" i="1"/>
  <c r="O162" i="1" s="1"/>
  <c r="Q161" i="1"/>
  <c r="O161" i="1" s="1"/>
  <c r="Q160" i="1"/>
  <c r="O160" i="1" s="1"/>
  <c r="Q159" i="1"/>
  <c r="O159" i="1" s="1"/>
  <c r="Q158" i="1"/>
  <c r="O158" i="1" s="1"/>
  <c r="Q157" i="1"/>
  <c r="O157" i="1" s="1"/>
  <c r="Q156" i="1"/>
  <c r="O156" i="1" s="1"/>
  <c r="Q155" i="1"/>
  <c r="O155" i="1" s="1"/>
  <c r="Q154" i="1"/>
  <c r="O154" i="1" s="1"/>
  <c r="Q153" i="1"/>
  <c r="O153" i="1" s="1"/>
  <c r="Q152" i="1"/>
  <c r="O152" i="1" s="1"/>
  <c r="Q151" i="1"/>
  <c r="O151" i="1" s="1"/>
  <c r="Q150" i="1"/>
  <c r="O150" i="1" s="1"/>
  <c r="Q149" i="1"/>
  <c r="O149" i="1" s="1"/>
  <c r="Q148" i="1"/>
  <c r="O148" i="1" s="1"/>
  <c r="Q147" i="1"/>
  <c r="O147" i="1" s="1"/>
  <c r="Q146" i="1"/>
  <c r="O146" i="1" s="1"/>
  <c r="Q145" i="1"/>
  <c r="O145" i="1" s="1"/>
  <c r="Q144" i="1"/>
  <c r="O144" i="1" s="1"/>
  <c r="Q143" i="1"/>
  <c r="O143" i="1" s="1"/>
  <c r="Q142" i="1"/>
  <c r="O142" i="1" s="1"/>
  <c r="Q141" i="1"/>
  <c r="O141" i="1" s="1"/>
  <c r="Q140" i="1"/>
  <c r="O140" i="1" s="1"/>
  <c r="Q139" i="1"/>
  <c r="O139" i="1" s="1"/>
  <c r="Q138" i="1"/>
  <c r="O138" i="1" s="1"/>
  <c r="Q137" i="1"/>
  <c r="O137" i="1" s="1"/>
  <c r="Q136" i="1"/>
  <c r="O136" i="1" s="1"/>
  <c r="Q135" i="1"/>
  <c r="O135" i="1" s="1"/>
  <c r="Q134" i="1"/>
  <c r="O134" i="1" s="1"/>
  <c r="Q133" i="1"/>
  <c r="O133" i="1" s="1"/>
  <c r="Q132" i="1"/>
  <c r="O132" i="1" s="1"/>
  <c r="Q131" i="1"/>
  <c r="O131" i="1" s="1"/>
  <c r="Q130" i="1"/>
  <c r="O130" i="1" s="1"/>
  <c r="Q129" i="1"/>
  <c r="O129" i="1" s="1"/>
  <c r="Q128" i="1"/>
  <c r="O128" i="1" s="1"/>
  <c r="Q127" i="1"/>
  <c r="O127" i="1" s="1"/>
  <c r="Q126" i="1"/>
  <c r="O126" i="1" s="1"/>
  <c r="Q125" i="1"/>
  <c r="O125" i="1" s="1"/>
  <c r="Q124" i="1"/>
  <c r="O124" i="1" s="1"/>
  <c r="Q123" i="1"/>
  <c r="O123" i="1" s="1"/>
  <c r="Q122" i="1"/>
  <c r="O122" i="1" s="1"/>
  <c r="Q121" i="1"/>
  <c r="O121" i="1" s="1"/>
  <c r="Q120" i="1"/>
  <c r="O120" i="1" s="1"/>
  <c r="Q119" i="1"/>
  <c r="O119" i="1" s="1"/>
  <c r="Q118" i="1"/>
  <c r="O118" i="1" s="1"/>
  <c r="Q117" i="1"/>
  <c r="O117" i="1" s="1"/>
  <c r="Q116" i="1"/>
  <c r="O116" i="1" s="1"/>
  <c r="Q115" i="1"/>
  <c r="O115" i="1" s="1"/>
  <c r="Q114" i="1"/>
  <c r="O114" i="1" s="1"/>
  <c r="Q113" i="1"/>
  <c r="O113" i="1" s="1"/>
  <c r="Q112" i="1"/>
  <c r="O112" i="1" s="1"/>
  <c r="Q111" i="1"/>
  <c r="O111" i="1" s="1"/>
  <c r="Q110" i="1"/>
  <c r="O110" i="1" s="1"/>
  <c r="Q109" i="1"/>
  <c r="O109" i="1" s="1"/>
  <c r="Q108" i="1"/>
  <c r="O108" i="1" s="1"/>
  <c r="Q107" i="1"/>
  <c r="O107" i="1" s="1"/>
  <c r="Q106" i="1"/>
  <c r="O106" i="1" s="1"/>
  <c r="Q105" i="1"/>
  <c r="O105" i="1" s="1"/>
  <c r="Q104" i="1"/>
  <c r="O104" i="1" s="1"/>
  <c r="Q103" i="1"/>
  <c r="O103" i="1" s="1"/>
  <c r="Q102" i="1"/>
  <c r="O102" i="1" s="1"/>
  <c r="Q101" i="1"/>
  <c r="O101" i="1" s="1"/>
  <c r="Q100" i="1"/>
  <c r="O100" i="1" s="1"/>
  <c r="Q99" i="1"/>
  <c r="O99" i="1" s="1"/>
  <c r="Q98" i="1"/>
  <c r="O98" i="1" s="1"/>
  <c r="Q97" i="1"/>
  <c r="O97" i="1" s="1"/>
  <c r="Q96" i="1"/>
  <c r="O96" i="1" s="1"/>
  <c r="Q95" i="1"/>
  <c r="O95" i="1" s="1"/>
  <c r="Q94" i="1"/>
  <c r="O94" i="1" s="1"/>
  <c r="Q93" i="1"/>
  <c r="O93" i="1" s="1"/>
  <c r="Q92" i="1"/>
  <c r="O92" i="1" s="1"/>
  <c r="Q91" i="1"/>
  <c r="O91" i="1" s="1"/>
  <c r="Q90" i="1"/>
  <c r="O90" i="1" s="1"/>
  <c r="Q89" i="1"/>
  <c r="O89" i="1" s="1"/>
  <c r="Q88" i="1"/>
  <c r="O88" i="1" s="1"/>
  <c r="Q87" i="1"/>
  <c r="O87" i="1" s="1"/>
  <c r="Q86" i="1"/>
  <c r="O86" i="1" s="1"/>
  <c r="Q85" i="1"/>
  <c r="O85" i="1" s="1"/>
  <c r="Q84" i="1"/>
  <c r="O84" i="1" s="1"/>
  <c r="Q83" i="1"/>
  <c r="O83" i="1" s="1"/>
  <c r="Q82" i="1"/>
  <c r="O82" i="1" s="1"/>
  <c r="Q81" i="1"/>
  <c r="O81" i="1" s="1"/>
  <c r="Q80" i="1"/>
  <c r="O80" i="1" s="1"/>
  <c r="Q79" i="1"/>
  <c r="O79" i="1" s="1"/>
  <c r="Q78" i="1"/>
  <c r="O78" i="1" s="1"/>
  <c r="Q77" i="1"/>
  <c r="O77" i="1" s="1"/>
  <c r="Q76" i="1"/>
  <c r="O76" i="1" s="1"/>
  <c r="Q75" i="1"/>
  <c r="O75" i="1" s="1"/>
  <c r="Q74" i="1"/>
  <c r="O74" i="1" s="1"/>
  <c r="Q73" i="1"/>
  <c r="O73" i="1" s="1"/>
  <c r="Q72" i="1"/>
  <c r="O72" i="1" s="1"/>
  <c r="Q71" i="1"/>
  <c r="O71" i="1" s="1"/>
  <c r="Q70" i="1"/>
  <c r="O70" i="1" s="1"/>
  <c r="Q69" i="1"/>
  <c r="O69" i="1" s="1"/>
  <c r="Q68" i="1"/>
  <c r="O68" i="1" s="1"/>
  <c r="Q67" i="1"/>
  <c r="O67" i="1" s="1"/>
  <c r="Q66" i="1"/>
  <c r="O66" i="1" s="1"/>
  <c r="Q65" i="1"/>
  <c r="O65" i="1" s="1"/>
  <c r="Q64" i="1"/>
  <c r="O64" i="1" s="1"/>
  <c r="Q63" i="1"/>
  <c r="O63" i="1" s="1"/>
  <c r="Q62" i="1"/>
  <c r="O62" i="1" s="1"/>
  <c r="Q61" i="1"/>
  <c r="O61" i="1" s="1"/>
  <c r="Q60" i="1"/>
  <c r="O60" i="1" s="1"/>
  <c r="Q59" i="1"/>
  <c r="O59" i="1" s="1"/>
  <c r="Q58" i="1"/>
  <c r="O58" i="1" s="1"/>
  <c r="Q57" i="1"/>
  <c r="O57" i="1" s="1"/>
  <c r="Q56" i="1"/>
  <c r="O56" i="1" s="1"/>
  <c r="Q55" i="1"/>
  <c r="O55" i="1" s="1"/>
  <c r="Q54" i="1"/>
  <c r="O54" i="1" s="1"/>
  <c r="Q53" i="1"/>
  <c r="O53" i="1" s="1"/>
  <c r="Q52" i="1"/>
  <c r="O52" i="1" s="1"/>
  <c r="Q51" i="1"/>
  <c r="O51" i="1" s="1"/>
  <c r="Q50" i="1"/>
  <c r="O50" i="1" s="1"/>
  <c r="Q49" i="1"/>
  <c r="O49" i="1" s="1"/>
  <c r="Q48" i="1"/>
  <c r="O48" i="1" s="1"/>
  <c r="Q47" i="1"/>
  <c r="O47" i="1" s="1"/>
  <c r="Q46" i="1"/>
  <c r="O46" i="1" s="1"/>
  <c r="Q45" i="1"/>
  <c r="O45" i="1" s="1"/>
  <c r="Q44" i="1"/>
  <c r="O44" i="1" s="1"/>
  <c r="Q43" i="1"/>
  <c r="O43" i="1" s="1"/>
  <c r="Q42" i="1"/>
  <c r="O42" i="1" s="1"/>
  <c r="Q41" i="1"/>
  <c r="O41" i="1" s="1"/>
  <c r="Q40" i="1"/>
  <c r="O40" i="1" s="1"/>
  <c r="Q39" i="1"/>
  <c r="O39" i="1" s="1"/>
  <c r="Q38" i="1"/>
  <c r="O38" i="1" s="1"/>
  <c r="Q37" i="1"/>
  <c r="O37" i="1" s="1"/>
  <c r="Q36" i="1"/>
  <c r="O36" i="1" s="1"/>
  <c r="Q35" i="1"/>
  <c r="O35" i="1" s="1"/>
  <c r="Q34" i="1"/>
  <c r="O34" i="1" s="1"/>
  <c r="Q33" i="1"/>
  <c r="O33" i="1" s="1"/>
  <c r="Q32" i="1"/>
  <c r="O32" i="1" s="1"/>
  <c r="Q31" i="1"/>
  <c r="O31" i="1" s="1"/>
  <c r="Q30" i="1"/>
  <c r="O30" i="1" s="1"/>
  <c r="Q29" i="1"/>
  <c r="O29" i="1" s="1"/>
  <c r="Q28" i="1"/>
  <c r="O28" i="1" s="1"/>
  <c r="Q27" i="1"/>
  <c r="O27" i="1" s="1"/>
  <c r="Q26" i="1"/>
  <c r="O26" i="1" s="1"/>
  <c r="Q25" i="1"/>
  <c r="O25" i="1" s="1"/>
  <c r="Q24" i="1"/>
  <c r="O24" i="1" s="1"/>
  <c r="Q23" i="1"/>
  <c r="O23" i="1" s="1"/>
  <c r="Q22" i="1"/>
  <c r="O22" i="1" s="1"/>
  <c r="Q21" i="1"/>
  <c r="O21" i="1" s="1"/>
  <c r="Q20" i="1"/>
  <c r="O20" i="1" s="1"/>
  <c r="Q19" i="1"/>
  <c r="O19" i="1" s="1"/>
  <c r="Q18" i="1"/>
  <c r="O18" i="1" s="1"/>
  <c r="Q17" i="1"/>
  <c r="O17" i="1" s="1"/>
  <c r="Q16" i="1"/>
  <c r="O16" i="1" s="1"/>
  <c r="Q15" i="1"/>
  <c r="O15" i="1" s="1"/>
  <c r="Q14" i="1"/>
  <c r="O14" i="1" s="1"/>
  <c r="Q13" i="1"/>
  <c r="O13" i="1" s="1"/>
  <c r="Q12" i="1"/>
  <c r="O12" i="1" s="1"/>
  <c r="Q11" i="1"/>
  <c r="O11" i="1" s="1"/>
  <c r="Q10" i="1"/>
  <c r="O10" i="1" s="1"/>
  <c r="Q9" i="1"/>
  <c r="O9" i="1" s="1"/>
  <c r="Q8" i="1"/>
  <c r="O8" i="1" s="1"/>
  <c r="Q7" i="1"/>
  <c r="O7" i="1" s="1"/>
  <c r="Q6" i="1"/>
  <c r="O6" i="1" s="1"/>
  <c r="Q5" i="1"/>
  <c r="O5" i="1" s="1"/>
  <c r="Q4" i="1"/>
  <c r="O4" i="1" s="1"/>
  <c r="Q3" i="1"/>
  <c r="O3" i="1" s="1"/>
  <c r="Q2" i="1"/>
  <c r="O2" i="1" s="1"/>
</calcChain>
</file>

<file path=xl/sharedStrings.xml><?xml version="1.0" encoding="utf-8"?>
<sst xmlns="http://schemas.openxmlformats.org/spreadsheetml/2006/main" count="2548" uniqueCount="765">
  <si>
    <t>Images</t>
  </si>
  <si>
    <t>Id</t>
  </si>
  <si>
    <t>RFIDCode</t>
  </si>
  <si>
    <t>Voucher Type</t>
  </si>
  <si>
    <t>Photo</t>
  </si>
  <si>
    <t>Barcode</t>
  </si>
  <si>
    <t>Design No</t>
  </si>
  <si>
    <t>HUID No</t>
  </si>
  <si>
    <t>Category</t>
  </si>
  <si>
    <t>Calculation</t>
  </si>
  <si>
    <t>Product</t>
  </si>
  <si>
    <t>Location</t>
  </si>
  <si>
    <t>Pkt. Wt.</t>
  </si>
  <si>
    <t>PKt. Less Wt.</t>
  </si>
  <si>
    <t>Gross Wt.</t>
  </si>
  <si>
    <t>Carat</t>
  </si>
  <si>
    <t>D.Weight</t>
  </si>
  <si>
    <t>Net Wt.</t>
  </si>
  <si>
    <t>Quantity</t>
  </si>
  <si>
    <t>Rate</t>
  </si>
  <si>
    <t>Amount</t>
  </si>
  <si>
    <t>Metal Qty</t>
  </si>
  <si>
    <t>Weight</t>
  </si>
  <si>
    <t>Purity %</t>
  </si>
  <si>
    <t>Purity Wt</t>
  </si>
  <si>
    <t>Loss Wt.</t>
  </si>
  <si>
    <t>Loss Wt. Per</t>
  </si>
  <si>
    <t>Loss Value</t>
  </si>
  <si>
    <t>Wastage Per</t>
  </si>
  <si>
    <t>Wastage Wt</t>
  </si>
  <si>
    <t>Metal Rate</t>
  </si>
  <si>
    <t>Metal Value</t>
  </si>
  <si>
    <t>Metal Cost</t>
  </si>
  <si>
    <t>Requested Purity</t>
  </si>
  <si>
    <t>Requested</t>
  </si>
  <si>
    <t>Setting Charge</t>
  </si>
  <si>
    <t>Final Wt.</t>
  </si>
  <si>
    <t>Alloy Wt.</t>
  </si>
  <si>
    <t>Discount Type</t>
  </si>
  <si>
    <t>Discount Per.</t>
  </si>
  <si>
    <t>Discount Amount</t>
  </si>
  <si>
    <t>Discount</t>
  </si>
  <si>
    <t>Making Type</t>
  </si>
  <si>
    <t>Making Rate</t>
  </si>
  <si>
    <t>Making Discount Amt.</t>
  </si>
  <si>
    <t>Making Amount</t>
  </si>
  <si>
    <t>Making Actual Value</t>
  </si>
  <si>
    <t>Making Cost</t>
  </si>
  <si>
    <t>Minimum</t>
  </si>
  <si>
    <t>Minimum Price</t>
  </si>
  <si>
    <t>Minimum Code</t>
  </si>
  <si>
    <t>Stone Charge Type</t>
  </si>
  <si>
    <t>Stone Rate</t>
  </si>
  <si>
    <t>Stone Amount</t>
  </si>
  <si>
    <t>Stone Cost</t>
  </si>
  <si>
    <t>Diamond Amount</t>
  </si>
  <si>
    <t>Purchase Amount</t>
  </si>
  <si>
    <t>Sale Percentages</t>
  </si>
  <si>
    <t>Sale Amount</t>
  </si>
  <si>
    <t>Sale Amount With Tax</t>
  </si>
  <si>
    <t>Net Amt</t>
  </si>
  <si>
    <t>Tax Type</t>
  </si>
  <si>
    <t>Tax %</t>
  </si>
  <si>
    <t>Tax</t>
  </si>
  <si>
    <t>Other Charge Type</t>
  </si>
  <si>
    <t>Other Weight</t>
  </si>
  <si>
    <t>Other Rate</t>
  </si>
  <si>
    <t>Other Info</t>
  </si>
  <si>
    <t>Other Amount</t>
  </si>
  <si>
    <t>Certificate Amount</t>
  </si>
  <si>
    <t>Certificate No.</t>
  </si>
  <si>
    <t>Certificate Link</t>
  </si>
  <si>
    <t>Video Link</t>
  </si>
  <si>
    <t>Cut</t>
  </si>
  <si>
    <t>Color</t>
  </si>
  <si>
    <t>Seive</t>
  </si>
  <si>
    <t>Size</t>
  </si>
  <si>
    <t>Shape</t>
  </si>
  <si>
    <t>Clarity</t>
  </si>
  <si>
    <t>Unit Price</t>
  </si>
  <si>
    <t>Hallmark</t>
  </si>
  <si>
    <t>Hallmark Amount</t>
  </si>
  <si>
    <t>Hallmark Rate</t>
  </si>
  <si>
    <t>Net Amt+Tax</t>
  </si>
  <si>
    <t>Reverse</t>
  </si>
  <si>
    <t>Product Name</t>
  </si>
  <si>
    <t>Product ID</t>
  </si>
  <si>
    <t>Characteristic ID</t>
  </si>
  <si>
    <t>BG0705</t>
  </si>
  <si>
    <t>Fix</t>
  </si>
  <si>
    <t>Bangle 18K YG</t>
  </si>
  <si>
    <t>18K</t>
  </si>
  <si>
    <t>RING</t>
  </si>
  <si>
    <t>BG0253</t>
  </si>
  <si>
    <t>BG0304</t>
  </si>
  <si>
    <t>BG0790</t>
  </si>
  <si>
    <t>BG0823</t>
  </si>
  <si>
    <t>BG0825</t>
  </si>
  <si>
    <t>BG0827</t>
  </si>
  <si>
    <t>BG0833</t>
  </si>
  <si>
    <t>BG0837</t>
  </si>
  <si>
    <t>BG0838</t>
  </si>
  <si>
    <t>BG0839</t>
  </si>
  <si>
    <t>Bangle 18K RG</t>
  </si>
  <si>
    <t>BG0840</t>
  </si>
  <si>
    <t>BG0841</t>
  </si>
  <si>
    <t>BG0829</t>
  </si>
  <si>
    <t>BG0826</t>
  </si>
  <si>
    <t>BG0775</t>
  </si>
  <si>
    <t>BG0782</t>
  </si>
  <si>
    <t>BG0795</t>
  </si>
  <si>
    <t>BG0796</t>
  </si>
  <si>
    <t>BG0801</t>
  </si>
  <si>
    <t>BG0809</t>
  </si>
  <si>
    <t>BG0254</t>
  </si>
  <si>
    <t>BG0754</t>
  </si>
  <si>
    <t>BG0755</t>
  </si>
  <si>
    <t>BG0767</t>
  </si>
  <si>
    <t>BG0712</t>
  </si>
  <si>
    <t>BG0721</t>
  </si>
  <si>
    <t>BG0722</t>
  </si>
  <si>
    <t>BG0723</t>
  </si>
  <si>
    <t>BG0730</t>
  </si>
  <si>
    <t>BG0737</t>
  </si>
  <si>
    <t>BG0747</t>
  </si>
  <si>
    <t>Bangle 18K WG</t>
  </si>
  <si>
    <t>BG0751</t>
  </si>
  <si>
    <t>BG0768</t>
  </si>
  <si>
    <t>BG0704</t>
  </si>
  <si>
    <t>BG0799</t>
  </si>
  <si>
    <t>BG0794</t>
  </si>
  <si>
    <t>BG0828</t>
  </si>
  <si>
    <t>BG0252</t>
  </si>
  <si>
    <t>BG0835</t>
  </si>
  <si>
    <t>BG0836</t>
  </si>
  <si>
    <t>BG0842</t>
  </si>
  <si>
    <t>BR0902</t>
  </si>
  <si>
    <t>Bracelet 18K Y/G</t>
  </si>
  <si>
    <t>BR0903</t>
  </si>
  <si>
    <t>BR0904</t>
  </si>
  <si>
    <t>BR0917</t>
  </si>
  <si>
    <t>BR0003</t>
  </si>
  <si>
    <t>BR0829</t>
  </si>
  <si>
    <t>BR0840</t>
  </si>
  <si>
    <t>BR0873</t>
  </si>
  <si>
    <t>BR0897</t>
  </si>
  <si>
    <t>BR0898</t>
  </si>
  <si>
    <t>BR0899</t>
  </si>
  <si>
    <t>BR0901</t>
  </si>
  <si>
    <t>Bracelet 18K R/G</t>
  </si>
  <si>
    <t>BR0849</t>
  </si>
  <si>
    <t>BR0851</t>
  </si>
  <si>
    <t>BR0861</t>
  </si>
  <si>
    <t>BR0837</t>
  </si>
  <si>
    <t>BR0838</t>
  </si>
  <si>
    <t>BR0742</t>
  </si>
  <si>
    <t>BR0752</t>
  </si>
  <si>
    <t>BR0914</t>
  </si>
  <si>
    <t>BR0915</t>
  </si>
  <si>
    <t>BR0905</t>
  </si>
  <si>
    <t>BR0828</t>
  </si>
  <si>
    <t>BR0911</t>
  </si>
  <si>
    <t>Bracelet 18K W/G</t>
  </si>
  <si>
    <t>BR0912</t>
  </si>
  <si>
    <t>BR0913</t>
  </si>
  <si>
    <t>BR0759</t>
  </si>
  <si>
    <t>BR0809</t>
  </si>
  <si>
    <t>BR0810</t>
  </si>
  <si>
    <t>BR0015</t>
  </si>
  <si>
    <t>BR0016</t>
  </si>
  <si>
    <t>BR0018</t>
  </si>
  <si>
    <t>BR0019</t>
  </si>
  <si>
    <t>BR0083</t>
  </si>
  <si>
    <t>BR0867</t>
  </si>
  <si>
    <t>BR0868</t>
  </si>
  <si>
    <t>BR0869</t>
  </si>
  <si>
    <t>BR0870</t>
  </si>
  <si>
    <t>BR0853</t>
  </si>
  <si>
    <t>BR0825</t>
  </si>
  <si>
    <t>BR0891</t>
  </si>
  <si>
    <t>S250001</t>
  </si>
  <si>
    <t>Error 2015</t>
  </si>
  <si>
    <t>S250002</t>
  </si>
  <si>
    <t>ER0268</t>
  </si>
  <si>
    <t>Earring 18K Y/G</t>
  </si>
  <si>
    <t>ER0954</t>
  </si>
  <si>
    <t>ER0827</t>
  </si>
  <si>
    <t>ER0917</t>
  </si>
  <si>
    <t>ER0989</t>
  </si>
  <si>
    <t>ER1011</t>
  </si>
  <si>
    <t>ER1015</t>
  </si>
  <si>
    <t>ER1017</t>
  </si>
  <si>
    <t>ER1031</t>
  </si>
  <si>
    <t>ER1046</t>
  </si>
  <si>
    <t>ER1041</t>
  </si>
  <si>
    <t>ER1052</t>
  </si>
  <si>
    <t>ER1056</t>
  </si>
  <si>
    <t>ER1058</t>
  </si>
  <si>
    <t>ER1062</t>
  </si>
  <si>
    <t>ER1073</t>
  </si>
  <si>
    <t>ER1064</t>
  </si>
  <si>
    <t>ER1066</t>
  </si>
  <si>
    <t>ER1068</t>
  </si>
  <si>
    <t>ER1090</t>
  </si>
  <si>
    <t>ER1096</t>
  </si>
  <si>
    <t>ER1100</t>
  </si>
  <si>
    <t>ER1102</t>
  </si>
  <si>
    <t>ER1108</t>
  </si>
  <si>
    <t>ER1109</t>
  </si>
  <si>
    <t>ER1106</t>
  </si>
  <si>
    <t>ER1115</t>
  </si>
  <si>
    <t>ER1116</t>
  </si>
  <si>
    <t>ER1117</t>
  </si>
  <si>
    <t>ER1097</t>
  </si>
  <si>
    <t>Earring 18K R/G</t>
  </si>
  <si>
    <t>ER1034</t>
  </si>
  <si>
    <t>ER1038</t>
  </si>
  <si>
    <t>ER1029</t>
  </si>
  <si>
    <t>ER1016</t>
  </si>
  <si>
    <t>ER1005</t>
  </si>
  <si>
    <t>ER0986</t>
  </si>
  <si>
    <t>ER0988</t>
  </si>
  <si>
    <t>ER0918</t>
  </si>
  <si>
    <t>ER0919</t>
  </si>
  <si>
    <t>ER0915</t>
  </si>
  <si>
    <t>ER0928</t>
  </si>
  <si>
    <t>ER0319</t>
  </si>
  <si>
    <t>ER0809</t>
  </si>
  <si>
    <t>ER0810</t>
  </si>
  <si>
    <t>ER0791</t>
  </si>
  <si>
    <t>ER0824</t>
  </si>
  <si>
    <t>ER0825</t>
  </si>
  <si>
    <t>ER0863</t>
  </si>
  <si>
    <t>ER0870</t>
  </si>
  <si>
    <t>Earring 18K W/G</t>
  </si>
  <si>
    <t>ER0871</t>
  </si>
  <si>
    <t>ER0890</t>
  </si>
  <si>
    <t>ER0896</t>
  </si>
  <si>
    <t>ER0910</t>
  </si>
  <si>
    <t>ER0911</t>
  </si>
  <si>
    <t>BR02</t>
  </si>
  <si>
    <t>18K WHITE GOLD BRACELET</t>
  </si>
  <si>
    <t>PD22</t>
  </si>
  <si>
    <t>PENDANT</t>
  </si>
  <si>
    <t>PD21</t>
  </si>
  <si>
    <t>PD20</t>
  </si>
  <si>
    <t>PD19</t>
  </si>
  <si>
    <t>PD18</t>
  </si>
  <si>
    <t>PD17</t>
  </si>
  <si>
    <t>PD16</t>
  </si>
  <si>
    <t>PD15</t>
  </si>
  <si>
    <t>PD14</t>
  </si>
  <si>
    <t>PD13</t>
  </si>
  <si>
    <t>PD12</t>
  </si>
  <si>
    <t>PD11</t>
  </si>
  <si>
    <t>PD10</t>
  </si>
  <si>
    <t>PD09</t>
  </si>
  <si>
    <t>PD07</t>
  </si>
  <si>
    <t>PD06</t>
  </si>
  <si>
    <t>NK03</t>
  </si>
  <si>
    <t>NECKLACE</t>
  </si>
  <si>
    <t>PD05</t>
  </si>
  <si>
    <t>PD23</t>
  </si>
  <si>
    <t>PENDANT WITH CHAIN</t>
  </si>
  <si>
    <t>ER08</t>
  </si>
  <si>
    <t>EARRING DIAMOND</t>
  </si>
  <si>
    <t>RG06</t>
  </si>
  <si>
    <t>RING DIAMOND</t>
  </si>
  <si>
    <t>RG11</t>
  </si>
  <si>
    <t>RING WITH DIAMOND</t>
  </si>
  <si>
    <t>RG10</t>
  </si>
  <si>
    <t>RG09</t>
  </si>
  <si>
    <t>RG08</t>
  </si>
  <si>
    <t>ER09</t>
  </si>
  <si>
    <t>EARRINGS WITH DIAMOND</t>
  </si>
  <si>
    <t>RG07</t>
  </si>
  <si>
    <t>PD24</t>
  </si>
  <si>
    <t>PENDANT WITH DIAMOND</t>
  </si>
  <si>
    <t>BG01</t>
  </si>
  <si>
    <t>BANGLE WITH DIAMOND</t>
  </si>
  <si>
    <t>ER1080</t>
  </si>
  <si>
    <t>18K DIAMOND EARRING</t>
  </si>
  <si>
    <t>ER10</t>
  </si>
  <si>
    <t>18K WHITE GOLD EARRINGS</t>
  </si>
  <si>
    <t>RG18</t>
  </si>
  <si>
    <t>18K WHITE GOLD RING</t>
  </si>
  <si>
    <t>PD27</t>
  </si>
  <si>
    <t>14K GOLD PENDANT</t>
  </si>
  <si>
    <t>PD26</t>
  </si>
  <si>
    <t>ER12</t>
  </si>
  <si>
    <t>NK08</t>
  </si>
  <si>
    <t>18K WHITE GOLD NECKLACE</t>
  </si>
  <si>
    <t>NK07</t>
  </si>
  <si>
    <t>NK06</t>
  </si>
  <si>
    <t>RG21</t>
  </si>
  <si>
    <t>ER14</t>
  </si>
  <si>
    <t>DIAMOND WG EARRING</t>
  </si>
  <si>
    <t>NP1</t>
  </si>
  <si>
    <t>DIAMOND NOSE PIECE</t>
  </si>
  <si>
    <t>NK10</t>
  </si>
  <si>
    <t>18K WHITE GOLD NECKLACE DIAMON</t>
  </si>
  <si>
    <t>ER0808</t>
  </si>
  <si>
    <t>ER0813</t>
  </si>
  <si>
    <t>ER0816</t>
  </si>
  <si>
    <t>ER0321</t>
  </si>
  <si>
    <t>ER0003</t>
  </si>
  <si>
    <t>ER0111</t>
  </si>
  <si>
    <t>ER0123</t>
  </si>
  <si>
    <t>ER0124</t>
  </si>
  <si>
    <t>ER0931</t>
  </si>
  <si>
    <t>ER0932</t>
  </si>
  <si>
    <t>ER1001</t>
  </si>
  <si>
    <t>ER1006</t>
  </si>
  <si>
    <t>ER1014</t>
  </si>
  <si>
    <t>ER1025</t>
  </si>
  <si>
    <t>ER1047</t>
  </si>
  <si>
    <t>ER1048</t>
  </si>
  <si>
    <t>ER1049</t>
  </si>
  <si>
    <t>ER1050</t>
  </si>
  <si>
    <t>ER1063</t>
  </si>
  <si>
    <t>ER1059</t>
  </si>
  <si>
    <t>ER1053</t>
  </si>
  <si>
    <t>ER1054</t>
  </si>
  <si>
    <t>ER1042</t>
  </si>
  <si>
    <t>ER1045</t>
  </si>
  <si>
    <t>ER1092</t>
  </si>
  <si>
    <t>ER1093</t>
  </si>
  <si>
    <t>ER1069</t>
  </si>
  <si>
    <t>ER1067</t>
  </si>
  <si>
    <t>ER1065</t>
  </si>
  <si>
    <t>ER1077</t>
  </si>
  <si>
    <t>ER1081</t>
  </si>
  <si>
    <t>ER1083</t>
  </si>
  <si>
    <t>ER1085</t>
  </si>
  <si>
    <t>ER1086</t>
  </si>
  <si>
    <t>ER1087</t>
  </si>
  <si>
    <t>ER1088</t>
  </si>
  <si>
    <t>ER1089</t>
  </si>
  <si>
    <t>ER1098</t>
  </si>
  <si>
    <t>ER1099</t>
  </si>
  <si>
    <t>ER1103</t>
  </si>
  <si>
    <t>ER1101</t>
  </si>
  <si>
    <t>ER1114</t>
  </si>
  <si>
    <t>ER1110</t>
  </si>
  <si>
    <t>ER1119</t>
  </si>
  <si>
    <t>NC0321</t>
  </si>
  <si>
    <t>Necklace 18K YG</t>
  </si>
  <si>
    <t>NC0999</t>
  </si>
  <si>
    <t>NC1004</t>
  </si>
  <si>
    <t>NC1031</t>
  </si>
  <si>
    <t>NC1038</t>
  </si>
  <si>
    <t>NC1039</t>
  </si>
  <si>
    <t>NC1044</t>
  </si>
  <si>
    <t>NC1045</t>
  </si>
  <si>
    <t>NC1035</t>
  </si>
  <si>
    <t>NC1036</t>
  </si>
  <si>
    <t>NC1052</t>
  </si>
  <si>
    <t>NC1058</t>
  </si>
  <si>
    <t>NC1056</t>
  </si>
  <si>
    <t>NC0906</t>
  </si>
  <si>
    <t>NC0908</t>
  </si>
  <si>
    <t>NC0909</t>
  </si>
  <si>
    <t>NC0911</t>
  </si>
  <si>
    <t>NC0913</t>
  </si>
  <si>
    <t>NC0917</t>
  </si>
  <si>
    <t>NC0921</t>
  </si>
  <si>
    <t>NC0934</t>
  </si>
  <si>
    <t>NC0936</t>
  </si>
  <si>
    <t>NC0937</t>
  </si>
  <si>
    <t>NC0975</t>
  </si>
  <si>
    <t>NC0979</t>
  </si>
  <si>
    <t>NC0984</t>
  </si>
  <si>
    <t>NC1009</t>
  </si>
  <si>
    <t>NC1010</t>
  </si>
  <si>
    <t>NC1017</t>
  </si>
  <si>
    <t>NC1018</t>
  </si>
  <si>
    <t>NC1019</t>
  </si>
  <si>
    <t>NC1020</t>
  </si>
  <si>
    <t>NC1022</t>
  </si>
  <si>
    <t>NC1023</t>
  </si>
  <si>
    <t>NC1025</t>
  </si>
  <si>
    <t>NC1026</t>
  </si>
  <si>
    <t>NC1027</t>
  </si>
  <si>
    <t>NC0965</t>
  </si>
  <si>
    <t>Necklace 18K RG</t>
  </si>
  <si>
    <t>NC1053</t>
  </si>
  <si>
    <t>NC1049</t>
  </si>
  <si>
    <t>NC0990</t>
  </si>
  <si>
    <t>NC0829</t>
  </si>
  <si>
    <t>NC0883</t>
  </si>
  <si>
    <t>NC0891</t>
  </si>
  <si>
    <t>Necklace 18K WG</t>
  </si>
  <si>
    <t>NC0892</t>
  </si>
  <si>
    <t>NC0904</t>
  </si>
  <si>
    <t>NC0905</t>
  </si>
  <si>
    <t>NC0853</t>
  </si>
  <si>
    <t>NC0862</t>
  </si>
  <si>
    <t>NC0880</t>
  </si>
  <si>
    <t>NC0881</t>
  </si>
  <si>
    <t>NC0002</t>
  </si>
  <si>
    <t>NC0003</t>
  </si>
  <si>
    <t>NC0007</t>
  </si>
  <si>
    <t>NC0162</t>
  </si>
  <si>
    <t>NC0163</t>
  </si>
  <si>
    <t>NC0170</t>
  </si>
  <si>
    <t>NC0171</t>
  </si>
  <si>
    <t>NC1000</t>
  </si>
  <si>
    <t>NC1034</t>
  </si>
  <si>
    <t>NC1006</t>
  </si>
  <si>
    <t>NC1046</t>
  </si>
  <si>
    <t>NC1048</t>
  </si>
  <si>
    <t>NC1041</t>
  </si>
  <si>
    <t>NC1043</t>
  </si>
  <si>
    <t>NC1050</t>
  </si>
  <si>
    <t>NC1051</t>
  </si>
  <si>
    <t>NC1037</t>
  </si>
  <si>
    <t>NC1054</t>
  </si>
  <si>
    <t>NC1055</t>
  </si>
  <si>
    <t>NC1057</t>
  </si>
  <si>
    <t>NC0968</t>
  </si>
  <si>
    <t>NC0976</t>
  </si>
  <si>
    <t>NC0978</t>
  </si>
  <si>
    <t>NC0985</t>
  </si>
  <si>
    <t>NC0986</t>
  </si>
  <si>
    <t>NC1028</t>
  </si>
  <si>
    <t>NC1029</t>
  </si>
  <si>
    <t>NC1030</t>
  </si>
  <si>
    <t>NC0943</t>
  </si>
  <si>
    <t>NC0944</t>
  </si>
  <si>
    <t>NC0946</t>
  </si>
  <si>
    <t>NC0954</t>
  </si>
  <si>
    <t>NC0957</t>
  </si>
  <si>
    <t>NC0963</t>
  </si>
  <si>
    <t>NC0925</t>
  </si>
  <si>
    <t>NC0930</t>
  </si>
  <si>
    <t>PD0869</t>
  </si>
  <si>
    <t>Pendant 18K RG</t>
  </si>
  <si>
    <t>PD0983</t>
  </si>
  <si>
    <t>PD0963</t>
  </si>
  <si>
    <t>PD1018</t>
  </si>
  <si>
    <t>PD1036</t>
  </si>
  <si>
    <t>PD1061</t>
  </si>
  <si>
    <t>PD1046</t>
  </si>
  <si>
    <t>Pendant 18K YG</t>
  </si>
  <si>
    <t>PD1008</t>
  </si>
  <si>
    <t>PD1051</t>
  </si>
  <si>
    <t>RG2632</t>
  </si>
  <si>
    <t>Ring 18 W/G</t>
  </si>
  <si>
    <t>RG2633</t>
  </si>
  <si>
    <t>RG2634</t>
  </si>
  <si>
    <t>RG2616</t>
  </si>
  <si>
    <t>RG2617</t>
  </si>
  <si>
    <t>RG2618</t>
  </si>
  <si>
    <t>RG2619</t>
  </si>
  <si>
    <t>RG2620</t>
  </si>
  <si>
    <t>RG2621</t>
  </si>
  <si>
    <t>RG2622</t>
  </si>
  <si>
    <t>RG2626</t>
  </si>
  <si>
    <t>RG2627</t>
  </si>
  <si>
    <t>RG2649</t>
  </si>
  <si>
    <t>RG2650</t>
  </si>
  <si>
    <t>PD1019</t>
  </si>
  <si>
    <t>PD0901</t>
  </si>
  <si>
    <t>PD1010</t>
  </si>
  <si>
    <t>PD1011</t>
  </si>
  <si>
    <t>PD1012</t>
  </si>
  <si>
    <t>PD1014</t>
  </si>
  <si>
    <t>PD1016</t>
  </si>
  <si>
    <t>PD1017</t>
  </si>
  <si>
    <t>PD1060</t>
  </si>
  <si>
    <t>PD0932</t>
  </si>
  <si>
    <t>Pendant 18K WG</t>
  </si>
  <si>
    <t>PD0948</t>
  </si>
  <si>
    <t>PD0965</t>
  </si>
  <si>
    <t>PD0988</t>
  </si>
  <si>
    <t>PD0989</t>
  </si>
  <si>
    <t>PD0990</t>
  </si>
  <si>
    <t>PD0993</t>
  </si>
  <si>
    <t>PD1001</t>
  </si>
  <si>
    <t>PD1004</t>
  </si>
  <si>
    <t>PD1005</t>
  </si>
  <si>
    <t>PD1020</t>
  </si>
  <si>
    <t>PD1023</t>
  </si>
  <si>
    <t>PD1025</t>
  </si>
  <si>
    <t>PD1027</t>
  </si>
  <si>
    <t>PD1028</t>
  </si>
  <si>
    <t>PD1029</t>
  </si>
  <si>
    <t>PD1030</t>
  </si>
  <si>
    <t>PD1031</t>
  </si>
  <si>
    <t>PD1032</t>
  </si>
  <si>
    <t>PD1033</t>
  </si>
  <si>
    <t>PD1034</t>
  </si>
  <si>
    <t>PD1035</t>
  </si>
  <si>
    <t>PD1037</t>
  </si>
  <si>
    <t>PD1040</t>
  </si>
  <si>
    <t>PD1041</t>
  </si>
  <si>
    <t>PD1042</t>
  </si>
  <si>
    <t>PD1044</t>
  </si>
  <si>
    <t>PD1054</t>
  </si>
  <si>
    <t>PD1009</t>
  </si>
  <si>
    <t>PD1048</t>
  </si>
  <si>
    <t>PD1050</t>
  </si>
  <si>
    <t>PD1059</t>
  </si>
  <si>
    <t>PD0872</t>
  </si>
  <si>
    <t>PD0874</t>
  </si>
  <si>
    <t>PD0001</t>
  </si>
  <si>
    <t>PD0556</t>
  </si>
  <si>
    <t>PD0807</t>
  </si>
  <si>
    <t>RG0024</t>
  </si>
  <si>
    <t>Ring 18K</t>
  </si>
  <si>
    <t>RG0032</t>
  </si>
  <si>
    <t>RG0033</t>
  </si>
  <si>
    <t>RG0416</t>
  </si>
  <si>
    <t>RG2433</t>
  </si>
  <si>
    <t>RG2465</t>
  </si>
  <si>
    <t>RG2466</t>
  </si>
  <si>
    <t>RG2467</t>
  </si>
  <si>
    <t>RG1034</t>
  </si>
  <si>
    <t>RG2224</t>
  </si>
  <si>
    <t>RG2245</t>
  </si>
  <si>
    <t>RG2309</t>
  </si>
  <si>
    <t>RG2679</t>
  </si>
  <si>
    <t>RG2669</t>
  </si>
  <si>
    <t>RG2673</t>
  </si>
  <si>
    <t>RG2615</t>
  </si>
  <si>
    <t>RG2630</t>
  </si>
  <si>
    <t>RG2637</t>
  </si>
  <si>
    <t>RG2640</t>
  </si>
  <si>
    <t>RG2641</t>
  </si>
  <si>
    <t>RG2652</t>
  </si>
  <si>
    <t>RG2657</t>
  </si>
  <si>
    <t>RG2659</t>
  </si>
  <si>
    <t>RG2479</t>
  </si>
  <si>
    <t>RG2511</t>
  </si>
  <si>
    <t>RG2513</t>
  </si>
  <si>
    <t>RG2520</t>
  </si>
  <si>
    <t>RG2536</t>
  </si>
  <si>
    <t>RG2537</t>
  </si>
  <si>
    <t>RG2538</t>
  </si>
  <si>
    <t>RG2539</t>
  </si>
  <si>
    <t>RG2540</t>
  </si>
  <si>
    <t>RG2550</t>
  </si>
  <si>
    <t>RG2560</t>
  </si>
  <si>
    <t>RG2562</t>
  </si>
  <si>
    <t>RG2563</t>
  </si>
  <si>
    <t>RG2566</t>
  </si>
  <si>
    <t>RG2573</t>
  </si>
  <si>
    <t>RG2580</t>
  </si>
  <si>
    <t>RG2587</t>
  </si>
  <si>
    <t>RG2589</t>
  </si>
  <si>
    <t>RG2596</t>
  </si>
  <si>
    <t>RG2603</t>
  </si>
  <si>
    <t>RG2604</t>
  </si>
  <si>
    <t>RG2605</t>
  </si>
  <si>
    <t>RG2606</t>
  </si>
  <si>
    <t>RG2607</t>
  </si>
  <si>
    <t>RG2610</t>
  </si>
  <si>
    <t>Ring 18K R/G</t>
  </si>
  <si>
    <t>RG2591</t>
  </si>
  <si>
    <t>RG2561</t>
  </si>
  <si>
    <t>RG2557</t>
  </si>
  <si>
    <t>RG2558</t>
  </si>
  <si>
    <t>RG2475</t>
  </si>
  <si>
    <t>RG2476</t>
  </si>
  <si>
    <t>RG2477</t>
  </si>
  <si>
    <t>RG2530</t>
  </si>
  <si>
    <t>RG2514</t>
  </si>
  <si>
    <t>RG2498</t>
  </si>
  <si>
    <t>RG2661</t>
  </si>
  <si>
    <t>RG2665</t>
  </si>
  <si>
    <t>RG2666</t>
  </si>
  <si>
    <t>RG2667</t>
  </si>
  <si>
    <t>RG2644</t>
  </si>
  <si>
    <t>RG2646</t>
  </si>
  <si>
    <t>RG2647</t>
  </si>
  <si>
    <t>RG2648</t>
  </si>
  <si>
    <t>RG2459</t>
  </si>
  <si>
    <t>RG2565</t>
  </si>
  <si>
    <t>RG2678</t>
  </si>
  <si>
    <t>RG2651</t>
  </si>
  <si>
    <t>RG2310</t>
  </si>
  <si>
    <t>RG2306</t>
  </si>
  <si>
    <t>RG2271</t>
  </si>
  <si>
    <t>RG1057</t>
  </si>
  <si>
    <t>RG0318</t>
  </si>
  <si>
    <t>RG0319</t>
  </si>
  <si>
    <t>RG0934</t>
  </si>
  <si>
    <t>RG0947</t>
  </si>
  <si>
    <t>RG0949</t>
  </si>
  <si>
    <t>RG0954</t>
  </si>
  <si>
    <t>RG0956</t>
  </si>
  <si>
    <t>RG0274</t>
  </si>
  <si>
    <t>RG0279</t>
  </si>
  <si>
    <t>RG0315</t>
  </si>
  <si>
    <t>RG0317</t>
  </si>
  <si>
    <t>RG0276</t>
  </si>
  <si>
    <t>RG0263</t>
  </si>
  <si>
    <t>RG0978</t>
  </si>
  <si>
    <t>RG0993</t>
  </si>
  <si>
    <t>RG0618</t>
  </si>
  <si>
    <t>RG0668</t>
  </si>
  <si>
    <t>RG0001</t>
  </si>
  <si>
    <t>RG0009</t>
  </si>
  <si>
    <t>RG0010</t>
  </si>
  <si>
    <t>RG0013</t>
  </si>
  <si>
    <t>RG0016</t>
  </si>
  <si>
    <t>RG2399</t>
  </si>
  <si>
    <t>RG2414</t>
  </si>
  <si>
    <t>RG2356</t>
  </si>
  <si>
    <t>RG2422</t>
  </si>
  <si>
    <t>RG2439</t>
  </si>
  <si>
    <t>RG2447</t>
  </si>
  <si>
    <t>RG2456</t>
  </si>
  <si>
    <t>RG2449</t>
  </si>
  <si>
    <t>RG2427</t>
  </si>
  <si>
    <t>RG2431</t>
  </si>
  <si>
    <t>RG2470</t>
  </si>
  <si>
    <t>RG2471</t>
  </si>
  <si>
    <t>RG2472</t>
  </si>
  <si>
    <t>RG2473</t>
  </si>
  <si>
    <t>RG2474</t>
  </si>
  <si>
    <t>RG1030</t>
  </si>
  <si>
    <t>RG1042</t>
  </si>
  <si>
    <t>RG1054</t>
  </si>
  <si>
    <t>RG1132</t>
  </si>
  <si>
    <t>RG1069</t>
  </si>
  <si>
    <t>RG1070</t>
  </si>
  <si>
    <t>RG1071</t>
  </si>
  <si>
    <t>RG2278</t>
  </si>
  <si>
    <t>RG2281</t>
  </si>
  <si>
    <t>RG2294</t>
  </si>
  <si>
    <t>RG2297</t>
  </si>
  <si>
    <t>RG2308</t>
  </si>
  <si>
    <t>RG2322</t>
  </si>
  <si>
    <t>RG2249</t>
  </si>
  <si>
    <t>RG2259</t>
  </si>
  <si>
    <t>RG2260</t>
  </si>
  <si>
    <t>RG2229</t>
  </si>
  <si>
    <t>RG2231</t>
  </si>
  <si>
    <t>RG2242</t>
  </si>
  <si>
    <t>RG2681</t>
  </si>
  <si>
    <t>RG2671</t>
  </si>
  <si>
    <t>RG2672</t>
  </si>
  <si>
    <t>RG2639</t>
  </si>
  <si>
    <t>RG2631</t>
  </si>
  <si>
    <t>RG2642</t>
  </si>
  <si>
    <t>RG2643</t>
  </si>
  <si>
    <t>RG2653</t>
  </si>
  <si>
    <t>RG2654</t>
  </si>
  <si>
    <t>RG2655</t>
  </si>
  <si>
    <t>RG2656</t>
  </si>
  <si>
    <t>RG2499</t>
  </si>
  <si>
    <t>RG2500</t>
  </si>
  <si>
    <t>RG2501</t>
  </si>
  <si>
    <t>RG2503</t>
  </si>
  <si>
    <t>RG2505</t>
  </si>
  <si>
    <t>RG2508</t>
  </si>
  <si>
    <t>RG2509</t>
  </si>
  <si>
    <t>RG2516</t>
  </si>
  <si>
    <t>RG2483</t>
  </si>
  <si>
    <t>RG2486</t>
  </si>
  <si>
    <t>RG2487</t>
  </si>
  <si>
    <t>RG2488</t>
  </si>
  <si>
    <t>RG2495</t>
  </si>
  <si>
    <t>RG2534</t>
  </si>
  <si>
    <t>RG2535</t>
  </si>
  <si>
    <t>RG2521</t>
  </si>
  <si>
    <t>RG2523</t>
  </si>
  <si>
    <t>RG2529</t>
  </si>
  <si>
    <t>RG2542</t>
  </si>
  <si>
    <t>RG2543</t>
  </si>
  <si>
    <t>RG2548</t>
  </si>
  <si>
    <t>RG2555</t>
  </si>
  <si>
    <t>RG2564</t>
  </si>
  <si>
    <t>RG2582</t>
  </si>
  <si>
    <t>RG2583</t>
  </si>
  <si>
    <t>RG2584</t>
  </si>
  <si>
    <t>RG2568</t>
  </si>
  <si>
    <t>RG2571</t>
  </si>
  <si>
    <t>RG2592</t>
  </si>
  <si>
    <t>RG2593</t>
  </si>
  <si>
    <t>RG2594</t>
  </si>
  <si>
    <t>RG2597</t>
  </si>
  <si>
    <t>RG2598</t>
  </si>
  <si>
    <t>RG2599</t>
  </si>
  <si>
    <t>RG2600</t>
  </si>
  <si>
    <t>RG2601</t>
  </si>
  <si>
    <t>RG2602</t>
  </si>
  <si>
    <t>RG2611</t>
  </si>
  <si>
    <t>RG2612</t>
  </si>
  <si>
    <t>RG2613</t>
  </si>
  <si>
    <t>RG2614</t>
  </si>
  <si>
    <t>RG2609</t>
  </si>
  <si>
    <t>ER03</t>
  </si>
  <si>
    <t>PD01</t>
  </si>
  <si>
    <t>18K WHITE GOLD PENDANT 65PCS</t>
  </si>
  <si>
    <t>RG02</t>
  </si>
  <si>
    <t>18K WHITE GOLD RING 71PCS</t>
  </si>
  <si>
    <t>RG04</t>
  </si>
  <si>
    <t>18K WHITE GOLD RING 163PCS</t>
  </si>
  <si>
    <t>ER06</t>
  </si>
  <si>
    <t>18K DIAMOND EARRINGS</t>
  </si>
  <si>
    <t>ER0938</t>
  </si>
  <si>
    <t>ER0939</t>
  </si>
  <si>
    <t>ER0964</t>
  </si>
  <si>
    <t>ER0926</t>
  </si>
  <si>
    <t>ER0831</t>
  </si>
  <si>
    <t>ER0833</t>
  </si>
  <si>
    <t>ER0844</t>
  </si>
  <si>
    <t>ER0851</t>
  </si>
  <si>
    <t>ER0984</t>
  </si>
  <si>
    <t>ER0994</t>
  </si>
  <si>
    <t>ER0996</t>
  </si>
  <si>
    <t>ER0997</t>
  </si>
  <si>
    <t>RG1058</t>
  </si>
  <si>
    <t>RG1074</t>
  </si>
  <si>
    <t>RG1090</t>
  </si>
  <si>
    <t>RG1112</t>
  </si>
  <si>
    <t>RG1116</t>
  </si>
  <si>
    <t>RG1130</t>
  </si>
  <si>
    <t>RG1000</t>
  </si>
  <si>
    <t>RG1002</t>
  </si>
  <si>
    <t>RG1007</t>
  </si>
  <si>
    <t>RG1028</t>
  </si>
  <si>
    <t>RG1029</t>
  </si>
  <si>
    <t>RG2468</t>
  </si>
  <si>
    <t>RG2448</t>
  </si>
  <si>
    <t>RG2450</t>
  </si>
  <si>
    <t>RG2451</t>
  </si>
  <si>
    <t>RG2453</t>
  </si>
  <si>
    <t>RG2455</t>
  </si>
  <si>
    <t>RG2436</t>
  </si>
  <si>
    <t>RG2438</t>
  </si>
  <si>
    <t>RG2423</t>
  </si>
  <si>
    <t>RG2419</t>
  </si>
  <si>
    <t>RG2327</t>
  </si>
  <si>
    <t>RG2357</t>
  </si>
  <si>
    <t>RG2395</t>
  </si>
  <si>
    <t>Carat X Rate</t>
  </si>
  <si>
    <t>RING - Diamond &amp; Stones</t>
  </si>
  <si>
    <t>24K</t>
  </si>
  <si>
    <t>Tax on making</t>
  </si>
  <si>
    <t>Rate X Gross Wt</t>
  </si>
  <si>
    <t>22K</t>
  </si>
  <si>
    <t>On Amount</t>
  </si>
  <si>
    <t>Per Gram</t>
  </si>
  <si>
    <t>Tax of net amount</t>
  </si>
  <si>
    <t>Percentage</t>
  </si>
  <si>
    <t>Rate X Purity Wt</t>
  </si>
  <si>
    <t>21K</t>
  </si>
  <si>
    <t>On Making Amount</t>
  </si>
  <si>
    <t>Per Piece</t>
  </si>
  <si>
    <t>No tax</t>
  </si>
  <si>
    <t>Rate X Net Wt</t>
  </si>
  <si>
    <t>On Diamond Amount</t>
  </si>
  <si>
    <t>Per Kilogram</t>
  </si>
  <si>
    <t>Rate X Final Wt</t>
  </si>
  <si>
    <t>On Stone Amount</t>
  </si>
  <si>
    <t>Per Percent</t>
  </si>
  <si>
    <t>On Net Amount</t>
  </si>
  <si>
    <t>MRP</t>
  </si>
  <si>
    <t>Stone Charge</t>
  </si>
  <si>
    <t>On Percentage</t>
  </si>
  <si>
    <t>M.KT</t>
  </si>
  <si>
    <t>Attach Image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</si>
</sst>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"/>
      <name val="MS Sans Serif"/>
      <charset val="134"/>
    </font>
  </fonts>
  <fills count="4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Protection="1">
      <protection locked="0"/>
    </xf>
    <xf numFmtId="0" fontId="2" fillId="3" borderId="0" xfId="0" applyFont="1" applyFill="1"/>
    <xf numFmtId="4" fontId="2" fillId="0" borderId="0" xfId="0" applyNumberFormat="1" applyFont="1" applyProtection="1">
      <protection locked="0"/>
    </xf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K607"/>
  <sheetViews>
    <sheetView tabSelected="1" workbookViewId="0">
      <pane ySplit="1" topLeftCell="A2" activePane="bottomLeft" state="frozen"/>
      <selection pane="bottomLeft" activeCell="K612" sqref="K612"/>
    </sheetView>
  </sheetViews>
  <sheetFormatPr defaultColWidth="9" defaultRowHeight="14.4"/>
  <cols>
    <col min="1" max="1" width="56.5546875" customWidth="1"/>
    <col min="2" max="2" width="5.6640625" customWidth="1"/>
    <col min="3" max="3" width="12.88671875" customWidth="1"/>
    <col min="4" max="4" width="17.5546875" customWidth="1"/>
    <col min="5" max="5" width="9.21875" customWidth="1"/>
    <col min="6" max="6" width="11.5546875" customWidth="1"/>
    <col min="7" max="7" width="14" customWidth="1"/>
    <col min="8" max="8" width="11.5546875" customWidth="1"/>
    <col min="9" max="9" width="12.88671875" customWidth="1"/>
    <col min="10" max="10" width="16.21875" customWidth="1"/>
    <col min="11" max="11" width="28.109375" customWidth="1"/>
    <col min="12" max="13" width="12.88671875" customWidth="1"/>
    <col min="14" max="14" width="18.6640625" customWidth="1"/>
    <col min="15" max="15" width="14" customWidth="1"/>
    <col min="16" max="16" width="9.21875" customWidth="1"/>
    <col min="17" max="17" width="12.88671875" customWidth="1"/>
    <col min="18" max="18" width="11.5546875" customWidth="1"/>
    <col min="19" max="19" width="12.88671875" customWidth="1"/>
    <col min="20" max="20" width="8.109375" customWidth="1"/>
    <col min="21" max="21" width="10.44140625" customWidth="1"/>
    <col min="22" max="22" width="14" customWidth="1"/>
    <col min="23" max="23" width="10.44140625" customWidth="1"/>
    <col min="24" max="24" width="9.21875" customWidth="1"/>
    <col min="25" max="25" width="12.88671875" customWidth="1"/>
    <col min="26" max="26" width="14" customWidth="1"/>
    <col min="27" max="27" width="12.88671875" customWidth="1"/>
    <col min="28" max="28" width="17.5546875" customWidth="1"/>
    <col min="29" max="29" width="15.109375" customWidth="1"/>
    <col min="30" max="30" width="16.21875" customWidth="1"/>
    <col min="31" max="32" width="15.109375" customWidth="1"/>
    <col min="33" max="33" width="16.21875" customWidth="1"/>
    <col min="34" max="34" width="15.109375" customWidth="1"/>
    <col min="35" max="35" width="22.21875" customWidth="1"/>
    <col min="36" max="36" width="14" customWidth="1"/>
    <col min="37" max="37" width="19.88671875" customWidth="1"/>
    <col min="38" max="39" width="14" customWidth="1"/>
    <col min="40" max="41" width="18.6640625" customWidth="1"/>
    <col min="42" max="42" width="21" customWidth="1"/>
    <col min="43" max="43" width="12.88671875" customWidth="1"/>
    <col min="44" max="45" width="16.21875" customWidth="1"/>
    <col min="46" max="46" width="27" customWidth="1"/>
    <col min="47" max="47" width="18.6640625" customWidth="1"/>
    <col min="48" max="48" width="25.6640625" customWidth="1"/>
    <col min="49" max="49" width="16.21875" customWidth="1"/>
    <col min="50" max="50" width="11.5546875" customWidth="1"/>
    <col min="51" max="51" width="18.6640625" customWidth="1"/>
    <col min="52" max="52" width="17.5546875" customWidth="1"/>
    <col min="53" max="53" width="23.44140625" customWidth="1"/>
    <col min="54" max="54" width="15.109375" customWidth="1"/>
    <col min="55" max="55" width="17.5546875" customWidth="1"/>
    <col min="56" max="56" width="15.109375" customWidth="1"/>
    <col min="57" max="57" width="19.88671875" customWidth="1"/>
    <col min="58" max="58" width="21" customWidth="1"/>
    <col min="59" max="59" width="22.21875" customWidth="1"/>
    <col min="60" max="60" width="16.21875" customWidth="1"/>
    <col min="61" max="61" width="27" customWidth="1"/>
    <col min="62" max="62" width="11.5546875" customWidth="1"/>
    <col min="63" max="63" width="12.88671875" customWidth="1"/>
    <col min="64" max="64" width="9.21875" customWidth="1"/>
    <col min="65" max="65" width="6.88671875" customWidth="1"/>
    <col min="66" max="66" width="23.44140625" customWidth="1"/>
    <col min="67" max="67" width="17.5546875" customWidth="1"/>
    <col min="68" max="69" width="15.109375" customWidth="1"/>
    <col min="70" max="70" width="17.5546875" customWidth="1"/>
    <col min="71" max="71" width="24.5546875" customWidth="1"/>
    <col min="72" max="72" width="21" customWidth="1"/>
    <col min="73" max="73" width="22.21875" customWidth="1"/>
    <col min="74" max="74" width="15.109375" customWidth="1"/>
    <col min="75" max="75" width="6.88671875" customWidth="1"/>
    <col min="76" max="77" width="9.21875" customWidth="1"/>
    <col min="78" max="78" width="8.109375" customWidth="1"/>
    <col min="79" max="79" width="9.21875" customWidth="1"/>
    <col min="80" max="80" width="11.5546875" customWidth="1"/>
    <col min="81" max="81" width="15.109375" customWidth="1"/>
    <col min="82" max="82" width="12.88671875" customWidth="1"/>
    <col min="83" max="83" width="21" customWidth="1"/>
    <col min="84" max="84" width="18.6640625" customWidth="1"/>
    <col min="85" max="85" width="16.21875" customWidth="1"/>
    <col min="86" max="86" width="11.5546875" customWidth="1"/>
    <col min="87" max="87" width="17.5546875" customWidth="1"/>
    <col min="88" max="88" width="15.109375" customWidth="1"/>
    <col min="89" max="89" width="23.44140625" customWidth="1"/>
  </cols>
  <sheetData>
    <row r="1" spans="1:89" ht="28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15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 ht="31.95" hidden="1" customHeight="1">
      <c r="F2" s="2" t="s">
        <v>88</v>
      </c>
      <c r="J2" t="s">
        <v>89</v>
      </c>
      <c r="K2" s="2" t="s">
        <v>90</v>
      </c>
      <c r="O2" s="3">
        <f>Q2+R2</f>
        <v>15.592000000000001</v>
      </c>
      <c r="P2" s="4">
        <v>1.26</v>
      </c>
      <c r="Q2">
        <f>P2/5</f>
        <v>0.252</v>
      </c>
      <c r="R2" s="4">
        <v>15.34</v>
      </c>
      <c r="S2">
        <v>1</v>
      </c>
      <c r="V2">
        <v>1</v>
      </c>
      <c r="W2" s="4">
        <v>15.34</v>
      </c>
      <c r="X2" t="s">
        <v>91</v>
      </c>
      <c r="Y2">
        <v>0.75</v>
      </c>
      <c r="AA2">
        <v>0</v>
      </c>
      <c r="BF2" s="4">
        <v>7322.06</v>
      </c>
      <c r="BG2" s="4"/>
      <c r="BH2" s="4">
        <v>51254.39</v>
      </c>
      <c r="CI2" t="s">
        <v>92</v>
      </c>
      <c r="CJ2">
        <v>1</v>
      </c>
      <c r="CK2">
        <v>3</v>
      </c>
    </row>
    <row r="3" spans="1:89" hidden="1">
      <c r="F3" s="2" t="s">
        <v>93</v>
      </c>
      <c r="J3" t="s">
        <v>89</v>
      </c>
      <c r="K3" s="2" t="s">
        <v>90</v>
      </c>
      <c r="O3" s="3">
        <f t="shared" ref="O3:O66" si="0">Q3+R3</f>
        <v>52.054000000000002</v>
      </c>
      <c r="P3" s="4">
        <v>2.62</v>
      </c>
      <c r="Q3">
        <f t="shared" ref="Q3:Q66" si="1">P3/5</f>
        <v>0.52400000000000002</v>
      </c>
      <c r="R3" s="4">
        <v>51.53</v>
      </c>
      <c r="S3">
        <v>1</v>
      </c>
      <c r="V3">
        <v>1</v>
      </c>
      <c r="W3" s="4">
        <v>51.53</v>
      </c>
      <c r="X3" t="s">
        <v>91</v>
      </c>
      <c r="Y3">
        <v>0.75</v>
      </c>
      <c r="AA3">
        <v>0</v>
      </c>
      <c r="BF3" s="4">
        <v>11471.33</v>
      </c>
      <c r="BG3" s="4"/>
      <c r="BH3" s="4">
        <v>80299.3</v>
      </c>
    </row>
    <row r="4" spans="1:89" hidden="1">
      <c r="F4" s="2" t="s">
        <v>94</v>
      </c>
      <c r="J4" t="s">
        <v>89</v>
      </c>
      <c r="K4" s="2" t="s">
        <v>90</v>
      </c>
      <c r="O4" s="3">
        <f t="shared" si="0"/>
        <v>7.83</v>
      </c>
      <c r="P4" s="4">
        <v>0.8</v>
      </c>
      <c r="Q4">
        <f t="shared" si="1"/>
        <v>0.16</v>
      </c>
      <c r="R4" s="4">
        <v>7.67</v>
      </c>
      <c r="S4">
        <v>1</v>
      </c>
      <c r="V4">
        <v>1</v>
      </c>
      <c r="W4" s="4">
        <v>7.67</v>
      </c>
      <c r="X4" t="s">
        <v>91</v>
      </c>
      <c r="Y4">
        <v>0.75</v>
      </c>
      <c r="AA4">
        <v>0</v>
      </c>
      <c r="BF4" s="4">
        <v>3941.03</v>
      </c>
      <c r="BG4" s="4"/>
      <c r="BH4" s="4">
        <v>27587.200000000001</v>
      </c>
    </row>
    <row r="5" spans="1:89" hidden="1">
      <c r="F5" s="2" t="s">
        <v>95</v>
      </c>
      <c r="J5" t="s">
        <v>89</v>
      </c>
      <c r="K5" s="2" t="s">
        <v>90</v>
      </c>
      <c r="O5" s="3">
        <f t="shared" si="0"/>
        <v>8.06</v>
      </c>
      <c r="P5" s="4">
        <v>0.8</v>
      </c>
      <c r="Q5">
        <f t="shared" si="1"/>
        <v>0.16</v>
      </c>
      <c r="R5" s="4">
        <v>7.9</v>
      </c>
      <c r="S5">
        <v>1</v>
      </c>
      <c r="V5">
        <v>1</v>
      </c>
      <c r="W5" s="4">
        <v>7.9</v>
      </c>
      <c r="X5" t="s">
        <v>91</v>
      </c>
      <c r="Y5">
        <v>0.75</v>
      </c>
      <c r="AA5">
        <v>0</v>
      </c>
      <c r="BF5" s="4">
        <v>3693.5</v>
      </c>
      <c r="BG5" s="4"/>
      <c r="BH5" s="4">
        <v>25854.48</v>
      </c>
    </row>
    <row r="6" spans="1:89" hidden="1">
      <c r="F6" s="2" t="s">
        <v>96</v>
      </c>
      <c r="J6" t="s">
        <v>89</v>
      </c>
      <c r="K6" s="2" t="s">
        <v>90</v>
      </c>
      <c r="O6" s="3">
        <f t="shared" si="0"/>
        <v>22.32</v>
      </c>
      <c r="P6" s="5"/>
      <c r="Q6">
        <f t="shared" si="1"/>
        <v>0</v>
      </c>
      <c r="R6" s="4">
        <v>22.32</v>
      </c>
      <c r="S6">
        <v>1</v>
      </c>
      <c r="V6">
        <v>1</v>
      </c>
      <c r="W6" s="4">
        <v>22.32</v>
      </c>
      <c r="X6" t="s">
        <v>91</v>
      </c>
      <c r="Y6">
        <v>0.75</v>
      </c>
      <c r="AA6">
        <v>0</v>
      </c>
      <c r="BF6" s="4">
        <v>9145</v>
      </c>
      <c r="BG6" s="4"/>
      <c r="BH6" s="4">
        <v>64000</v>
      </c>
    </row>
    <row r="7" spans="1:89" hidden="1">
      <c r="F7" s="2" t="s">
        <v>97</v>
      </c>
      <c r="J7" t="s">
        <v>89</v>
      </c>
      <c r="K7" s="2" t="s">
        <v>90</v>
      </c>
      <c r="O7" s="3">
        <f t="shared" si="0"/>
        <v>4.5198</v>
      </c>
      <c r="P7" s="4">
        <v>0.42399999999999999</v>
      </c>
      <c r="Q7">
        <f t="shared" si="1"/>
        <v>8.48E-2</v>
      </c>
      <c r="R7" s="4">
        <v>4.4349999999999996</v>
      </c>
      <c r="S7">
        <v>1</v>
      </c>
      <c r="V7">
        <v>1</v>
      </c>
      <c r="W7" s="4">
        <v>4.4349999999999996</v>
      </c>
      <c r="X7" t="s">
        <v>91</v>
      </c>
      <c r="Y7">
        <v>0.75</v>
      </c>
      <c r="AA7">
        <v>0</v>
      </c>
      <c r="BF7" s="4">
        <v>3113.63</v>
      </c>
      <c r="BG7" s="4"/>
      <c r="BH7" s="4">
        <v>21795.41</v>
      </c>
    </row>
    <row r="8" spans="1:89" hidden="1">
      <c r="F8" s="2" t="s">
        <v>98</v>
      </c>
      <c r="J8" t="s">
        <v>89</v>
      </c>
      <c r="K8" s="2" t="s">
        <v>90</v>
      </c>
      <c r="O8" s="3">
        <f t="shared" si="0"/>
        <v>6.2590000000000003</v>
      </c>
      <c r="P8" s="4">
        <v>0.47</v>
      </c>
      <c r="Q8">
        <f t="shared" si="1"/>
        <v>9.4E-2</v>
      </c>
      <c r="R8" s="4">
        <v>6.165</v>
      </c>
      <c r="S8">
        <v>1</v>
      </c>
      <c r="V8">
        <v>1</v>
      </c>
      <c r="W8" s="4">
        <v>6.165</v>
      </c>
      <c r="X8" t="s">
        <v>91</v>
      </c>
      <c r="Y8">
        <v>0.75</v>
      </c>
      <c r="AA8">
        <v>0</v>
      </c>
      <c r="BF8" s="4">
        <v>3085.53</v>
      </c>
      <c r="BG8" s="4"/>
      <c r="BH8" s="4">
        <v>21598.71</v>
      </c>
    </row>
    <row r="9" spans="1:89" hidden="1">
      <c r="F9" s="2" t="s">
        <v>99</v>
      </c>
      <c r="J9" t="s">
        <v>89</v>
      </c>
      <c r="K9" s="2" t="s">
        <v>90</v>
      </c>
      <c r="O9" s="3">
        <f t="shared" si="0"/>
        <v>12.4</v>
      </c>
      <c r="P9" s="4">
        <v>0.5</v>
      </c>
      <c r="Q9">
        <f t="shared" si="1"/>
        <v>0.1</v>
      </c>
      <c r="R9" s="4">
        <v>12.3</v>
      </c>
      <c r="S9">
        <v>1</v>
      </c>
      <c r="V9">
        <v>1</v>
      </c>
      <c r="W9" s="4">
        <v>12.3</v>
      </c>
      <c r="X9" t="s">
        <v>91</v>
      </c>
      <c r="Y9">
        <v>0.75</v>
      </c>
      <c r="AA9">
        <v>0</v>
      </c>
      <c r="BF9" s="4">
        <v>7300</v>
      </c>
      <c r="BG9" s="4"/>
      <c r="BH9" s="4">
        <v>51100</v>
      </c>
    </row>
    <row r="10" spans="1:89" hidden="1">
      <c r="F10" s="2" t="s">
        <v>100</v>
      </c>
      <c r="J10" t="s">
        <v>89</v>
      </c>
      <c r="K10" s="2" t="s">
        <v>90</v>
      </c>
      <c r="O10" s="3">
        <f t="shared" si="0"/>
        <v>8.4014000000000006</v>
      </c>
      <c r="P10" s="4">
        <v>1.157</v>
      </c>
      <c r="Q10">
        <f t="shared" si="1"/>
        <v>0.23139999999999999</v>
      </c>
      <c r="R10" s="4">
        <v>8.17</v>
      </c>
      <c r="S10">
        <v>1</v>
      </c>
      <c r="V10">
        <v>1</v>
      </c>
      <c r="W10" s="4">
        <v>8.17</v>
      </c>
      <c r="X10" t="s">
        <v>91</v>
      </c>
      <c r="Y10">
        <v>0.75</v>
      </c>
      <c r="AA10">
        <v>0</v>
      </c>
      <c r="BF10" s="4">
        <v>4726.75</v>
      </c>
      <c r="BG10" s="4"/>
      <c r="BH10" s="4">
        <v>33088</v>
      </c>
    </row>
    <row r="11" spans="1:89" hidden="1">
      <c r="F11" s="2" t="s">
        <v>101</v>
      </c>
      <c r="J11" t="s">
        <v>89</v>
      </c>
      <c r="K11" s="2" t="s">
        <v>90</v>
      </c>
      <c r="O11" s="3">
        <f t="shared" si="0"/>
        <v>16.756</v>
      </c>
      <c r="P11" s="4">
        <v>1.88</v>
      </c>
      <c r="Q11">
        <f t="shared" si="1"/>
        <v>0.376</v>
      </c>
      <c r="R11" s="4">
        <v>16.38</v>
      </c>
      <c r="S11">
        <v>1</v>
      </c>
      <c r="V11">
        <v>1</v>
      </c>
      <c r="W11" s="4">
        <v>16.38</v>
      </c>
      <c r="X11" t="s">
        <v>91</v>
      </c>
      <c r="Y11">
        <v>0.75</v>
      </c>
      <c r="AA11">
        <v>0</v>
      </c>
      <c r="BF11" s="4">
        <v>19162.5</v>
      </c>
      <c r="BG11" s="4"/>
      <c r="BH11" s="4">
        <v>134140</v>
      </c>
    </row>
    <row r="12" spans="1:89" hidden="1">
      <c r="F12" s="2" t="s">
        <v>102</v>
      </c>
      <c r="J12" t="s">
        <v>89</v>
      </c>
      <c r="K12" s="2" t="s">
        <v>103</v>
      </c>
      <c r="O12" s="3">
        <f t="shared" si="0"/>
        <v>15.486000000000001</v>
      </c>
      <c r="P12" s="4">
        <v>1.58</v>
      </c>
      <c r="Q12">
        <f t="shared" si="1"/>
        <v>0.316</v>
      </c>
      <c r="R12" s="4">
        <v>15.17</v>
      </c>
      <c r="S12">
        <v>1</v>
      </c>
      <c r="V12">
        <v>1</v>
      </c>
      <c r="W12" s="4">
        <v>15.17</v>
      </c>
      <c r="X12" t="s">
        <v>91</v>
      </c>
      <c r="Y12">
        <v>0.75</v>
      </c>
      <c r="AA12">
        <v>0</v>
      </c>
      <c r="BF12" s="4">
        <v>15439.5</v>
      </c>
      <c r="BG12" s="4"/>
      <c r="BH12" s="4">
        <v>108080</v>
      </c>
    </row>
    <row r="13" spans="1:89" hidden="1">
      <c r="F13" s="2" t="s">
        <v>104</v>
      </c>
      <c r="J13" t="s">
        <v>89</v>
      </c>
      <c r="K13" s="2" t="s">
        <v>103</v>
      </c>
      <c r="O13" s="3">
        <f t="shared" si="0"/>
        <v>15.132</v>
      </c>
      <c r="P13" s="4">
        <v>1.61</v>
      </c>
      <c r="Q13">
        <f t="shared" si="1"/>
        <v>0.32200000000000001</v>
      </c>
      <c r="R13" s="4">
        <v>14.81</v>
      </c>
      <c r="S13">
        <v>1</v>
      </c>
      <c r="V13">
        <v>1</v>
      </c>
      <c r="W13" s="4">
        <v>14.81</v>
      </c>
      <c r="X13" t="s">
        <v>91</v>
      </c>
      <c r="Y13">
        <v>0.75</v>
      </c>
      <c r="AA13">
        <v>0</v>
      </c>
      <c r="BF13" s="4">
        <v>15056.25</v>
      </c>
      <c r="BG13" s="4"/>
      <c r="BH13" s="4">
        <v>105400</v>
      </c>
    </row>
    <row r="14" spans="1:89" hidden="1">
      <c r="F14" s="2" t="s">
        <v>105</v>
      </c>
      <c r="J14" t="s">
        <v>89</v>
      </c>
      <c r="K14" s="2" t="s">
        <v>103</v>
      </c>
      <c r="O14" s="3">
        <f t="shared" si="0"/>
        <v>9.411999999999999</v>
      </c>
      <c r="P14" s="4">
        <v>0.66</v>
      </c>
      <c r="Q14">
        <f t="shared" si="1"/>
        <v>0.13200000000000001</v>
      </c>
      <c r="R14" s="4">
        <v>9.2799999999999994</v>
      </c>
      <c r="S14">
        <v>1</v>
      </c>
      <c r="V14">
        <v>1</v>
      </c>
      <c r="W14" s="4">
        <v>9.2799999999999994</v>
      </c>
      <c r="X14" t="s">
        <v>91</v>
      </c>
      <c r="Y14">
        <v>0.75</v>
      </c>
      <c r="AA14">
        <v>0</v>
      </c>
      <c r="BF14" s="4">
        <v>10402.5</v>
      </c>
      <c r="BG14" s="4"/>
      <c r="BH14" s="4">
        <v>72820</v>
      </c>
    </row>
    <row r="15" spans="1:89" hidden="1">
      <c r="F15" s="2" t="s">
        <v>106</v>
      </c>
      <c r="J15" t="s">
        <v>89</v>
      </c>
      <c r="K15" s="2" t="s">
        <v>103</v>
      </c>
      <c r="O15" s="3">
        <f t="shared" si="0"/>
        <v>4.5660000000000007</v>
      </c>
      <c r="P15" s="4">
        <v>0.43</v>
      </c>
      <c r="Q15">
        <f t="shared" si="1"/>
        <v>8.5999999999999993E-2</v>
      </c>
      <c r="R15" s="4">
        <v>4.4800000000000004</v>
      </c>
      <c r="S15">
        <v>1</v>
      </c>
      <c r="V15">
        <v>1</v>
      </c>
      <c r="W15" s="4">
        <v>4.4800000000000004</v>
      </c>
      <c r="X15" t="s">
        <v>91</v>
      </c>
      <c r="Y15">
        <v>0.75</v>
      </c>
      <c r="AA15">
        <v>0</v>
      </c>
      <c r="BF15" s="4">
        <v>3011.25</v>
      </c>
      <c r="BG15" s="4"/>
      <c r="BH15" s="4">
        <v>21078.75</v>
      </c>
    </row>
    <row r="16" spans="1:89" hidden="1">
      <c r="F16" s="2" t="s">
        <v>107</v>
      </c>
      <c r="J16" t="s">
        <v>89</v>
      </c>
      <c r="K16" s="2" t="s">
        <v>103</v>
      </c>
      <c r="O16" s="3">
        <f t="shared" si="0"/>
        <v>4.6969999999999992</v>
      </c>
      <c r="P16" s="4">
        <v>0.68500000000000005</v>
      </c>
      <c r="Q16">
        <f t="shared" si="1"/>
        <v>0.13700000000000001</v>
      </c>
      <c r="R16" s="4">
        <v>4.5599999999999996</v>
      </c>
      <c r="S16">
        <v>1</v>
      </c>
      <c r="V16">
        <v>1</v>
      </c>
      <c r="W16" s="4">
        <v>4.5599999999999996</v>
      </c>
      <c r="X16" t="s">
        <v>91</v>
      </c>
      <c r="Y16">
        <v>0.75</v>
      </c>
      <c r="AA16">
        <v>0</v>
      </c>
      <c r="BF16" s="4">
        <v>3603.46</v>
      </c>
      <c r="BG16" s="4"/>
      <c r="BH16" s="4">
        <v>25224.22</v>
      </c>
    </row>
    <row r="17" spans="6:60" hidden="1">
      <c r="F17" s="2" t="s">
        <v>108</v>
      </c>
      <c r="J17" t="s">
        <v>89</v>
      </c>
      <c r="K17" s="2" t="s">
        <v>103</v>
      </c>
      <c r="O17" s="3">
        <f t="shared" si="0"/>
        <v>9.74</v>
      </c>
      <c r="P17" s="4">
        <v>0.7</v>
      </c>
      <c r="Q17">
        <f t="shared" si="1"/>
        <v>0.13999999999999999</v>
      </c>
      <c r="R17" s="4">
        <v>9.6</v>
      </c>
      <c r="S17">
        <v>1</v>
      </c>
      <c r="V17">
        <v>1</v>
      </c>
      <c r="W17" s="4">
        <v>9.6</v>
      </c>
      <c r="X17" t="s">
        <v>91</v>
      </c>
      <c r="Y17">
        <v>0.75</v>
      </c>
      <c r="AA17">
        <v>0</v>
      </c>
      <c r="BF17" s="4">
        <v>3577.74</v>
      </c>
      <c r="BG17" s="4"/>
      <c r="BH17" s="4">
        <v>25044.16</v>
      </c>
    </row>
    <row r="18" spans="6:60" hidden="1">
      <c r="F18" s="2" t="s">
        <v>109</v>
      </c>
      <c r="J18" t="s">
        <v>89</v>
      </c>
      <c r="K18" s="2" t="s">
        <v>103</v>
      </c>
      <c r="O18" s="3">
        <f t="shared" si="0"/>
        <v>3.234</v>
      </c>
      <c r="P18" s="4">
        <v>0.17</v>
      </c>
      <c r="Q18">
        <f t="shared" si="1"/>
        <v>3.4000000000000002E-2</v>
      </c>
      <c r="R18" s="4">
        <v>3.2</v>
      </c>
      <c r="S18">
        <v>1</v>
      </c>
      <c r="V18">
        <v>1</v>
      </c>
      <c r="W18" s="4">
        <v>3.2</v>
      </c>
      <c r="X18" t="s">
        <v>91</v>
      </c>
      <c r="Y18">
        <v>0.75</v>
      </c>
      <c r="AA18">
        <v>0</v>
      </c>
      <c r="BF18" s="4">
        <v>1133.6600000000001</v>
      </c>
      <c r="BG18" s="4"/>
      <c r="BH18" s="4">
        <v>7935.63</v>
      </c>
    </row>
    <row r="19" spans="6:60" hidden="1">
      <c r="F19" s="2" t="s">
        <v>110</v>
      </c>
      <c r="J19" t="s">
        <v>89</v>
      </c>
      <c r="K19" s="2" t="s">
        <v>103</v>
      </c>
      <c r="O19" s="3">
        <f t="shared" si="0"/>
        <v>19.547999999999998</v>
      </c>
      <c r="P19" s="4">
        <v>0.24</v>
      </c>
      <c r="Q19">
        <f t="shared" si="1"/>
        <v>4.8000000000000001E-2</v>
      </c>
      <c r="R19" s="4">
        <v>19.5</v>
      </c>
      <c r="S19">
        <v>1</v>
      </c>
      <c r="V19">
        <v>1</v>
      </c>
      <c r="W19" s="4">
        <v>19.5</v>
      </c>
      <c r="X19" t="s">
        <v>91</v>
      </c>
      <c r="Y19">
        <v>0.75</v>
      </c>
      <c r="AA19">
        <v>0</v>
      </c>
      <c r="BF19" s="4">
        <v>6473.83</v>
      </c>
      <c r="BG19" s="4"/>
      <c r="BH19" s="4">
        <v>45316.800000000003</v>
      </c>
    </row>
    <row r="20" spans="6:60" hidden="1">
      <c r="F20" s="2" t="s">
        <v>111</v>
      </c>
      <c r="J20" t="s">
        <v>89</v>
      </c>
      <c r="K20" s="2" t="s">
        <v>103</v>
      </c>
      <c r="O20" s="3">
        <f t="shared" si="0"/>
        <v>4.3219999999999992</v>
      </c>
      <c r="P20" s="4">
        <v>0.26</v>
      </c>
      <c r="Q20">
        <f t="shared" si="1"/>
        <v>5.2000000000000005E-2</v>
      </c>
      <c r="R20" s="4">
        <v>4.2699999999999996</v>
      </c>
      <c r="S20">
        <v>1</v>
      </c>
      <c r="V20">
        <v>1</v>
      </c>
      <c r="W20" s="4">
        <v>4.2699999999999996</v>
      </c>
      <c r="X20" t="s">
        <v>91</v>
      </c>
      <c r="Y20">
        <v>0.75</v>
      </c>
      <c r="AA20">
        <v>0</v>
      </c>
      <c r="BF20" s="4">
        <v>1543.04</v>
      </c>
      <c r="BG20" s="4"/>
      <c r="BH20" s="4">
        <v>10801.31</v>
      </c>
    </row>
    <row r="21" spans="6:60" hidden="1">
      <c r="F21" s="2" t="s">
        <v>112</v>
      </c>
      <c r="J21" t="s">
        <v>89</v>
      </c>
      <c r="K21" s="2" t="s">
        <v>103</v>
      </c>
      <c r="O21" s="3">
        <f t="shared" si="0"/>
        <v>9.0779999999999994</v>
      </c>
      <c r="P21" s="4">
        <v>0.69</v>
      </c>
      <c r="Q21">
        <f t="shared" si="1"/>
        <v>0.13799999999999998</v>
      </c>
      <c r="R21" s="4">
        <v>8.94</v>
      </c>
      <c r="S21">
        <v>1</v>
      </c>
      <c r="V21">
        <v>1</v>
      </c>
      <c r="W21" s="4">
        <v>8.94</v>
      </c>
      <c r="X21" t="s">
        <v>91</v>
      </c>
      <c r="Y21">
        <v>0.75</v>
      </c>
      <c r="AA21">
        <v>0</v>
      </c>
      <c r="BF21" s="4">
        <v>3311.32</v>
      </c>
      <c r="BG21" s="4"/>
      <c r="BH21" s="4">
        <v>23179.27</v>
      </c>
    </row>
    <row r="22" spans="6:60" hidden="1">
      <c r="F22" s="2" t="s">
        <v>113</v>
      </c>
      <c r="J22" t="s">
        <v>89</v>
      </c>
      <c r="K22" s="2" t="s">
        <v>103</v>
      </c>
      <c r="O22" s="3">
        <f t="shared" si="0"/>
        <v>9.24</v>
      </c>
      <c r="P22" s="4">
        <v>0.65</v>
      </c>
      <c r="Q22">
        <f t="shared" si="1"/>
        <v>0.13</v>
      </c>
      <c r="R22" s="4">
        <v>9.11</v>
      </c>
      <c r="S22">
        <v>1</v>
      </c>
      <c r="V22">
        <v>1</v>
      </c>
      <c r="W22" s="4">
        <v>9.11</v>
      </c>
      <c r="X22" t="s">
        <v>91</v>
      </c>
      <c r="Y22">
        <v>0.75</v>
      </c>
      <c r="AA22">
        <v>0</v>
      </c>
      <c r="BF22" s="4">
        <v>3332.2</v>
      </c>
      <c r="BG22" s="4"/>
      <c r="BH22" s="4">
        <v>23325.4</v>
      </c>
    </row>
    <row r="23" spans="6:60" hidden="1">
      <c r="F23" s="2" t="s">
        <v>114</v>
      </c>
      <c r="J23" t="s">
        <v>89</v>
      </c>
      <c r="K23" s="2" t="s">
        <v>103</v>
      </c>
      <c r="O23" s="3">
        <f t="shared" si="0"/>
        <v>22.494</v>
      </c>
      <c r="P23" s="4">
        <v>2.57</v>
      </c>
      <c r="Q23">
        <f t="shared" si="1"/>
        <v>0.51400000000000001</v>
      </c>
      <c r="R23" s="4">
        <v>21.98</v>
      </c>
      <c r="S23">
        <v>1</v>
      </c>
      <c r="V23">
        <v>1</v>
      </c>
      <c r="W23" s="4">
        <v>21.98</v>
      </c>
      <c r="X23" t="s">
        <v>91</v>
      </c>
      <c r="Y23">
        <v>0.75</v>
      </c>
      <c r="AA23">
        <v>0</v>
      </c>
      <c r="BF23" s="4">
        <v>11525.07</v>
      </c>
      <c r="BG23" s="4"/>
      <c r="BH23" s="4">
        <v>80675.5</v>
      </c>
    </row>
    <row r="24" spans="6:60" hidden="1">
      <c r="F24" s="2" t="s">
        <v>115</v>
      </c>
      <c r="J24" t="s">
        <v>89</v>
      </c>
      <c r="K24" s="2" t="s">
        <v>103</v>
      </c>
      <c r="O24" s="3">
        <f t="shared" si="0"/>
        <v>9.9660000000000011</v>
      </c>
      <c r="P24" s="4">
        <v>0.38</v>
      </c>
      <c r="Q24">
        <f t="shared" si="1"/>
        <v>7.5999999999999998E-2</v>
      </c>
      <c r="R24" s="4">
        <v>9.89</v>
      </c>
      <c r="S24">
        <v>1</v>
      </c>
      <c r="V24">
        <v>1</v>
      </c>
      <c r="W24" s="4">
        <v>9.89</v>
      </c>
      <c r="X24" t="s">
        <v>91</v>
      </c>
      <c r="Y24">
        <v>0.75</v>
      </c>
      <c r="AA24">
        <v>0</v>
      </c>
      <c r="BF24" s="4">
        <v>3781.16</v>
      </c>
      <c r="BG24" s="4"/>
      <c r="BH24" s="4">
        <v>26468.14</v>
      </c>
    </row>
    <row r="25" spans="6:60" hidden="1">
      <c r="F25" s="2" t="s">
        <v>116</v>
      </c>
      <c r="J25" t="s">
        <v>89</v>
      </c>
      <c r="K25" s="2" t="s">
        <v>103</v>
      </c>
      <c r="O25" s="3">
        <f t="shared" si="0"/>
        <v>7.1240000000000006</v>
      </c>
      <c r="P25" s="4">
        <v>0.87</v>
      </c>
      <c r="Q25">
        <f t="shared" si="1"/>
        <v>0.17399999999999999</v>
      </c>
      <c r="R25" s="4">
        <v>6.95</v>
      </c>
      <c r="S25">
        <v>1</v>
      </c>
      <c r="V25">
        <v>1</v>
      </c>
      <c r="W25" s="4">
        <v>6.95</v>
      </c>
      <c r="X25" t="s">
        <v>91</v>
      </c>
      <c r="Y25">
        <v>0.75</v>
      </c>
      <c r="AA25">
        <v>0</v>
      </c>
      <c r="BF25" s="4">
        <v>3480.04</v>
      </c>
      <c r="BG25" s="4"/>
      <c r="BH25" s="4">
        <v>24360.27</v>
      </c>
    </row>
    <row r="26" spans="6:60" hidden="1">
      <c r="F26" s="2" t="s">
        <v>117</v>
      </c>
      <c r="J26" t="s">
        <v>89</v>
      </c>
      <c r="K26" s="2" t="s">
        <v>103</v>
      </c>
      <c r="O26" s="3">
        <f t="shared" si="0"/>
        <v>18.337999999999997</v>
      </c>
      <c r="P26" s="4">
        <v>1.39</v>
      </c>
      <c r="Q26">
        <f t="shared" si="1"/>
        <v>0.27799999999999997</v>
      </c>
      <c r="R26" s="4">
        <v>18.059999999999999</v>
      </c>
      <c r="S26">
        <v>1</v>
      </c>
      <c r="V26">
        <v>1</v>
      </c>
      <c r="W26" s="4">
        <v>18.059999999999999</v>
      </c>
      <c r="X26" t="s">
        <v>91</v>
      </c>
      <c r="Y26">
        <v>0.75</v>
      </c>
      <c r="AA26">
        <v>0</v>
      </c>
      <c r="BF26" s="4">
        <v>6643.7</v>
      </c>
      <c r="BG26" s="4"/>
      <c r="BH26" s="4">
        <v>46505.919999999998</v>
      </c>
    </row>
    <row r="27" spans="6:60" hidden="1">
      <c r="F27" s="2" t="s">
        <v>118</v>
      </c>
      <c r="J27" t="s">
        <v>89</v>
      </c>
      <c r="K27" s="2" t="s">
        <v>103</v>
      </c>
      <c r="O27" s="3">
        <f t="shared" si="0"/>
        <v>7.3419999999999996</v>
      </c>
      <c r="P27" s="4">
        <v>0.66</v>
      </c>
      <c r="Q27">
        <f t="shared" si="1"/>
        <v>0.13200000000000001</v>
      </c>
      <c r="R27" s="4">
        <v>7.21</v>
      </c>
      <c r="S27">
        <v>1</v>
      </c>
      <c r="V27">
        <v>1</v>
      </c>
      <c r="W27" s="4">
        <v>7.21</v>
      </c>
      <c r="X27" t="s">
        <v>91</v>
      </c>
      <c r="Y27">
        <v>0.75</v>
      </c>
      <c r="AA27">
        <v>0</v>
      </c>
      <c r="BF27" s="4">
        <v>2807.75</v>
      </c>
      <c r="BG27" s="4"/>
      <c r="BH27" s="4">
        <v>19654.27</v>
      </c>
    </row>
    <row r="28" spans="6:60" hidden="1">
      <c r="F28" s="2" t="s">
        <v>119</v>
      </c>
      <c r="J28" t="s">
        <v>89</v>
      </c>
      <c r="K28" s="2" t="s">
        <v>103</v>
      </c>
      <c r="O28" s="3">
        <f t="shared" si="0"/>
        <v>5.27</v>
      </c>
      <c r="P28" s="4">
        <v>0.25</v>
      </c>
      <c r="Q28">
        <f t="shared" si="1"/>
        <v>0.05</v>
      </c>
      <c r="R28" s="4">
        <v>5.22</v>
      </c>
      <c r="S28">
        <v>1</v>
      </c>
      <c r="V28">
        <v>1</v>
      </c>
      <c r="W28" s="4">
        <v>5.22</v>
      </c>
      <c r="X28" t="s">
        <v>91</v>
      </c>
      <c r="Y28">
        <v>0.75</v>
      </c>
      <c r="AA28">
        <v>0</v>
      </c>
      <c r="BF28" s="4">
        <v>1872.16</v>
      </c>
      <c r="BG28" s="4"/>
      <c r="BH28" s="4">
        <v>13105.12</v>
      </c>
    </row>
    <row r="29" spans="6:60" hidden="1">
      <c r="F29" s="2" t="s">
        <v>120</v>
      </c>
      <c r="J29" t="s">
        <v>89</v>
      </c>
      <c r="K29" s="2" t="s">
        <v>103</v>
      </c>
      <c r="O29" s="3">
        <f t="shared" si="0"/>
        <v>6.9559999999999995</v>
      </c>
      <c r="P29" s="4">
        <v>0.38</v>
      </c>
      <c r="Q29">
        <f t="shared" si="1"/>
        <v>7.5999999999999998E-2</v>
      </c>
      <c r="R29" s="4">
        <v>6.88</v>
      </c>
      <c r="S29">
        <v>1</v>
      </c>
      <c r="V29">
        <v>1</v>
      </c>
      <c r="W29" s="4">
        <v>6.88</v>
      </c>
      <c r="X29" t="s">
        <v>91</v>
      </c>
      <c r="Y29">
        <v>0.75</v>
      </c>
      <c r="AA29">
        <v>0</v>
      </c>
      <c r="BF29" s="4">
        <v>2531.16</v>
      </c>
      <c r="BG29" s="4"/>
      <c r="BH29" s="4">
        <v>17718.13</v>
      </c>
    </row>
    <row r="30" spans="6:60" hidden="1">
      <c r="F30" s="2" t="s">
        <v>121</v>
      </c>
      <c r="J30" t="s">
        <v>89</v>
      </c>
      <c r="K30" s="2" t="s">
        <v>103</v>
      </c>
      <c r="O30" s="3">
        <f t="shared" si="0"/>
        <v>4.51</v>
      </c>
      <c r="P30" s="4">
        <v>0.2</v>
      </c>
      <c r="Q30">
        <f t="shared" si="1"/>
        <v>0.04</v>
      </c>
      <c r="R30" s="4">
        <v>4.47</v>
      </c>
      <c r="S30">
        <v>1</v>
      </c>
      <c r="V30">
        <v>1</v>
      </c>
      <c r="W30" s="4">
        <v>4.47</v>
      </c>
      <c r="X30" t="s">
        <v>91</v>
      </c>
      <c r="Y30">
        <v>0.75</v>
      </c>
      <c r="AA30">
        <v>0</v>
      </c>
      <c r="BF30" s="4">
        <v>1603.55</v>
      </c>
      <c r="BG30" s="4"/>
      <c r="BH30" s="4">
        <v>11224.82</v>
      </c>
    </row>
    <row r="31" spans="6:60" hidden="1">
      <c r="F31" s="2" t="s">
        <v>122</v>
      </c>
      <c r="J31" t="s">
        <v>89</v>
      </c>
      <c r="K31" s="2" t="s">
        <v>103</v>
      </c>
      <c r="O31" s="3">
        <f t="shared" si="0"/>
        <v>5.758</v>
      </c>
      <c r="P31" s="4">
        <v>0.44</v>
      </c>
      <c r="Q31">
        <f t="shared" si="1"/>
        <v>8.7999999999999995E-2</v>
      </c>
      <c r="R31" s="4">
        <v>5.67</v>
      </c>
      <c r="S31">
        <v>1</v>
      </c>
      <c r="V31">
        <v>1</v>
      </c>
      <c r="W31" s="4">
        <v>5.67</v>
      </c>
      <c r="X31" t="s">
        <v>91</v>
      </c>
      <c r="Y31">
        <v>0.75</v>
      </c>
      <c r="AA31">
        <v>0</v>
      </c>
      <c r="BF31" s="4">
        <v>2211.33</v>
      </c>
      <c r="BG31" s="4"/>
      <c r="BH31" s="4">
        <v>15479.31</v>
      </c>
    </row>
    <row r="32" spans="6:60" hidden="1">
      <c r="F32" s="2" t="s">
        <v>123</v>
      </c>
      <c r="J32" t="s">
        <v>89</v>
      </c>
      <c r="K32" s="2" t="s">
        <v>103</v>
      </c>
      <c r="O32" s="3">
        <f t="shared" si="0"/>
        <v>14.022</v>
      </c>
      <c r="P32" s="4">
        <v>1.26</v>
      </c>
      <c r="Q32">
        <f t="shared" si="1"/>
        <v>0.252</v>
      </c>
      <c r="R32" s="4">
        <v>13.77</v>
      </c>
      <c r="S32">
        <v>1</v>
      </c>
      <c r="V32">
        <v>1</v>
      </c>
      <c r="W32" s="4">
        <v>13.77</v>
      </c>
      <c r="X32" t="s">
        <v>91</v>
      </c>
      <c r="Y32">
        <v>0.75</v>
      </c>
      <c r="AA32">
        <v>0</v>
      </c>
      <c r="BF32" s="4">
        <v>8272.09</v>
      </c>
      <c r="BG32" s="4"/>
      <c r="BH32" s="4">
        <v>57904.63</v>
      </c>
    </row>
    <row r="33" spans="6:60" hidden="1">
      <c r="F33" s="2" t="s">
        <v>124</v>
      </c>
      <c r="J33" t="s">
        <v>89</v>
      </c>
      <c r="K33" s="2" t="s">
        <v>125</v>
      </c>
      <c r="O33" s="3">
        <f t="shared" si="0"/>
        <v>6.774</v>
      </c>
      <c r="P33" s="4">
        <v>0.56999999999999995</v>
      </c>
      <c r="Q33">
        <f t="shared" si="1"/>
        <v>0.11399999999999999</v>
      </c>
      <c r="R33" s="4">
        <v>6.66</v>
      </c>
      <c r="S33">
        <v>1</v>
      </c>
      <c r="V33">
        <v>1</v>
      </c>
      <c r="W33" s="4">
        <v>6.66</v>
      </c>
      <c r="X33" t="s">
        <v>91</v>
      </c>
      <c r="Y33">
        <v>0.75</v>
      </c>
      <c r="AA33">
        <v>0</v>
      </c>
      <c r="BF33" s="4">
        <v>2895.4</v>
      </c>
      <c r="BG33" s="4"/>
      <c r="BH33" s="4">
        <v>20267.830000000002</v>
      </c>
    </row>
    <row r="34" spans="6:60" hidden="1">
      <c r="F34" s="2" t="s">
        <v>126</v>
      </c>
      <c r="J34" t="s">
        <v>89</v>
      </c>
      <c r="K34" s="2" t="s">
        <v>125</v>
      </c>
      <c r="O34" s="3">
        <f t="shared" si="0"/>
        <v>8.0020000000000007</v>
      </c>
      <c r="P34" s="4">
        <v>0.51</v>
      </c>
      <c r="Q34">
        <f t="shared" si="1"/>
        <v>0.10200000000000001</v>
      </c>
      <c r="R34" s="4">
        <v>7.9</v>
      </c>
      <c r="S34">
        <v>1</v>
      </c>
      <c r="V34">
        <v>1</v>
      </c>
      <c r="W34" s="4">
        <v>7.9</v>
      </c>
      <c r="X34" t="s">
        <v>91</v>
      </c>
      <c r="Y34">
        <v>0.75</v>
      </c>
      <c r="AA34">
        <v>0</v>
      </c>
      <c r="BF34" s="4">
        <v>3243.5</v>
      </c>
      <c r="BG34" s="4"/>
      <c r="BH34" s="4">
        <v>22704.48</v>
      </c>
    </row>
    <row r="35" spans="6:60" hidden="1">
      <c r="F35" s="2" t="s">
        <v>127</v>
      </c>
      <c r="J35" t="s">
        <v>89</v>
      </c>
      <c r="K35" s="2" t="s">
        <v>125</v>
      </c>
      <c r="O35" s="3">
        <f t="shared" si="0"/>
        <v>12.696</v>
      </c>
      <c r="P35" s="4">
        <v>1.73</v>
      </c>
      <c r="Q35">
        <f t="shared" si="1"/>
        <v>0.34599999999999997</v>
      </c>
      <c r="R35" s="4">
        <v>12.35</v>
      </c>
      <c r="S35">
        <v>1</v>
      </c>
      <c r="V35">
        <v>1</v>
      </c>
      <c r="W35" s="4">
        <v>12.35</v>
      </c>
      <c r="X35" t="s">
        <v>91</v>
      </c>
      <c r="Y35">
        <v>0.75</v>
      </c>
      <c r="AA35">
        <v>0</v>
      </c>
      <c r="BF35" s="4">
        <v>5371.89</v>
      </c>
      <c r="BG35" s="4"/>
      <c r="BH35" s="4">
        <v>37603.199999999997</v>
      </c>
    </row>
    <row r="36" spans="6:60" hidden="1">
      <c r="F36" s="2" t="s">
        <v>128</v>
      </c>
      <c r="J36" t="s">
        <v>89</v>
      </c>
      <c r="K36" s="2" t="s">
        <v>125</v>
      </c>
      <c r="O36" s="3">
        <f t="shared" si="0"/>
        <v>17.042000000000002</v>
      </c>
      <c r="P36" s="4">
        <v>1.21</v>
      </c>
      <c r="Q36">
        <f t="shared" si="1"/>
        <v>0.24199999999999999</v>
      </c>
      <c r="R36" s="4">
        <v>16.8</v>
      </c>
      <c r="S36">
        <v>1</v>
      </c>
      <c r="V36">
        <v>1</v>
      </c>
      <c r="W36" s="4">
        <v>16.8</v>
      </c>
      <c r="X36" t="s">
        <v>91</v>
      </c>
      <c r="Y36">
        <v>0.75</v>
      </c>
      <c r="AA36">
        <v>0</v>
      </c>
      <c r="BF36" s="4">
        <v>7286.42</v>
      </c>
      <c r="BG36" s="4"/>
      <c r="BH36" s="4">
        <v>51004.97</v>
      </c>
    </row>
    <row r="37" spans="6:60" hidden="1">
      <c r="F37" s="2" t="s">
        <v>129</v>
      </c>
      <c r="J37" t="s">
        <v>89</v>
      </c>
      <c r="K37" s="2" t="s">
        <v>125</v>
      </c>
      <c r="O37" s="3">
        <f t="shared" si="0"/>
        <v>4.8780000000000001</v>
      </c>
      <c r="P37" s="4">
        <v>0.39</v>
      </c>
      <c r="Q37">
        <f t="shared" si="1"/>
        <v>7.8E-2</v>
      </c>
      <c r="R37" s="4">
        <v>4.8</v>
      </c>
      <c r="S37">
        <v>1</v>
      </c>
      <c r="V37">
        <v>1</v>
      </c>
      <c r="W37" s="4">
        <v>4.8</v>
      </c>
      <c r="X37" t="s">
        <v>91</v>
      </c>
      <c r="Y37">
        <v>0.75</v>
      </c>
      <c r="AA37">
        <v>0</v>
      </c>
      <c r="BF37" s="4">
        <v>1803.83</v>
      </c>
      <c r="BG37" s="4"/>
      <c r="BH37" s="4">
        <v>12626.82</v>
      </c>
    </row>
    <row r="38" spans="6:60" hidden="1">
      <c r="F38" s="2" t="s">
        <v>130</v>
      </c>
      <c r="J38" t="s">
        <v>89</v>
      </c>
      <c r="K38" s="2" t="s">
        <v>125</v>
      </c>
      <c r="O38" s="3">
        <f t="shared" si="0"/>
        <v>4.6619999999999999</v>
      </c>
      <c r="P38" s="4">
        <v>0.56000000000000005</v>
      </c>
      <c r="Q38">
        <f t="shared" si="1"/>
        <v>0.11200000000000002</v>
      </c>
      <c r="R38" s="4">
        <v>4.55</v>
      </c>
      <c r="S38">
        <v>1</v>
      </c>
      <c r="V38">
        <v>1</v>
      </c>
      <c r="W38" s="4">
        <v>4.55</v>
      </c>
      <c r="X38" t="s">
        <v>91</v>
      </c>
      <c r="Y38">
        <v>0.75</v>
      </c>
      <c r="AA38">
        <v>0</v>
      </c>
      <c r="BF38" s="4">
        <v>2255.84</v>
      </c>
      <c r="BG38" s="4"/>
      <c r="BH38" s="4">
        <v>15790.89</v>
      </c>
    </row>
    <row r="39" spans="6:60" hidden="1">
      <c r="F39" s="2" t="s">
        <v>131</v>
      </c>
      <c r="J39" t="s">
        <v>89</v>
      </c>
      <c r="K39" s="2" t="s">
        <v>125</v>
      </c>
      <c r="O39" s="3">
        <f t="shared" si="0"/>
        <v>5.1833999999999998</v>
      </c>
      <c r="P39" s="4">
        <v>0.46700000000000003</v>
      </c>
      <c r="Q39">
        <f t="shared" si="1"/>
        <v>9.3400000000000011E-2</v>
      </c>
      <c r="R39" s="4">
        <v>5.09</v>
      </c>
      <c r="S39">
        <v>1</v>
      </c>
      <c r="V39">
        <v>1</v>
      </c>
      <c r="W39" s="4">
        <v>5.09</v>
      </c>
      <c r="X39" t="s">
        <v>91</v>
      </c>
      <c r="Y39">
        <v>0.75</v>
      </c>
      <c r="AA39">
        <v>0</v>
      </c>
      <c r="BF39" s="4">
        <v>3615.51</v>
      </c>
      <c r="BG39" s="4"/>
      <c r="BH39" s="4">
        <v>25308.57</v>
      </c>
    </row>
    <row r="40" spans="6:60" hidden="1">
      <c r="F40" s="2" t="s">
        <v>132</v>
      </c>
      <c r="J40" t="s">
        <v>89</v>
      </c>
      <c r="K40" s="2" t="s">
        <v>125</v>
      </c>
      <c r="O40" s="3">
        <f t="shared" si="0"/>
        <v>22.834</v>
      </c>
      <c r="P40" s="4">
        <v>2.57</v>
      </c>
      <c r="Q40">
        <f t="shared" si="1"/>
        <v>0.51400000000000001</v>
      </c>
      <c r="R40" s="4">
        <v>22.32</v>
      </c>
      <c r="S40">
        <v>1</v>
      </c>
      <c r="V40">
        <v>1</v>
      </c>
      <c r="W40" s="4">
        <v>22.32</v>
      </c>
      <c r="X40" t="s">
        <v>91</v>
      </c>
      <c r="Y40">
        <v>0.75</v>
      </c>
      <c r="AA40">
        <v>0</v>
      </c>
      <c r="BF40" s="4">
        <v>11495.21</v>
      </c>
      <c r="BG40" s="4"/>
      <c r="BH40" s="4">
        <v>80466.5</v>
      </c>
    </row>
    <row r="41" spans="6:60" hidden="1">
      <c r="F41" s="2" t="s">
        <v>133</v>
      </c>
      <c r="J41" t="s">
        <v>89</v>
      </c>
      <c r="K41" s="2" t="s">
        <v>125</v>
      </c>
      <c r="O41" s="3">
        <f t="shared" si="0"/>
        <v>8.3919999999999995</v>
      </c>
      <c r="P41" s="4">
        <v>1.1599999999999999</v>
      </c>
      <c r="Q41">
        <f t="shared" si="1"/>
        <v>0.23199999999999998</v>
      </c>
      <c r="R41" s="4">
        <v>8.16</v>
      </c>
      <c r="S41">
        <v>1</v>
      </c>
      <c r="V41">
        <v>1</v>
      </c>
      <c r="W41" s="4">
        <v>8.16</v>
      </c>
      <c r="X41" t="s">
        <v>91</v>
      </c>
      <c r="Y41">
        <v>0.75</v>
      </c>
      <c r="AA41">
        <v>0</v>
      </c>
      <c r="BF41" s="4">
        <v>2127.9499999999998</v>
      </c>
      <c r="BG41" s="4"/>
      <c r="BH41" s="4">
        <v>14895.65</v>
      </c>
    </row>
    <row r="42" spans="6:60" hidden="1">
      <c r="F42" s="2" t="s">
        <v>134</v>
      </c>
      <c r="J42" t="s">
        <v>89</v>
      </c>
      <c r="K42" s="2" t="s">
        <v>125</v>
      </c>
      <c r="O42" s="3">
        <f t="shared" si="0"/>
        <v>8.3919999999999995</v>
      </c>
      <c r="P42" s="4">
        <v>1.1599999999999999</v>
      </c>
      <c r="Q42">
        <f t="shared" si="1"/>
        <v>0.23199999999999998</v>
      </c>
      <c r="R42" s="4">
        <v>8.16</v>
      </c>
      <c r="S42">
        <v>1</v>
      </c>
      <c r="V42">
        <v>1</v>
      </c>
      <c r="W42" s="4">
        <v>8.16</v>
      </c>
      <c r="X42" t="s">
        <v>91</v>
      </c>
      <c r="Y42">
        <v>0.75</v>
      </c>
      <c r="AA42">
        <v>0</v>
      </c>
      <c r="BF42" s="4">
        <v>4252.25</v>
      </c>
      <c r="BG42" s="4"/>
      <c r="BH42" s="4">
        <v>29766</v>
      </c>
    </row>
    <row r="43" spans="6:60" hidden="1">
      <c r="F43" s="2" t="s">
        <v>135</v>
      </c>
      <c r="J43" t="s">
        <v>89</v>
      </c>
      <c r="K43" s="2" t="s">
        <v>125</v>
      </c>
      <c r="O43" s="3">
        <f t="shared" si="0"/>
        <v>7.9370000000000003</v>
      </c>
      <c r="P43" s="4">
        <v>1.1850000000000001</v>
      </c>
      <c r="Q43">
        <f t="shared" si="1"/>
        <v>0.23700000000000002</v>
      </c>
      <c r="R43" s="4">
        <v>7.7</v>
      </c>
      <c r="S43">
        <v>1</v>
      </c>
      <c r="V43">
        <v>1</v>
      </c>
      <c r="W43" s="4">
        <v>7.7</v>
      </c>
      <c r="X43" t="s">
        <v>91</v>
      </c>
      <c r="Y43">
        <v>0.75</v>
      </c>
      <c r="AA43">
        <v>0</v>
      </c>
      <c r="BF43" s="4">
        <v>4526</v>
      </c>
      <c r="BG43" s="4"/>
      <c r="BH43" s="4">
        <v>31682</v>
      </c>
    </row>
    <row r="44" spans="6:60" hidden="1">
      <c r="F44" s="2" t="s">
        <v>136</v>
      </c>
      <c r="J44" t="s">
        <v>89</v>
      </c>
      <c r="K44" s="2" t="s">
        <v>137</v>
      </c>
      <c r="O44" s="3">
        <f t="shared" si="0"/>
        <v>0.86599999999999999</v>
      </c>
      <c r="P44" s="4">
        <v>0.03</v>
      </c>
      <c r="Q44">
        <f t="shared" si="1"/>
        <v>6.0000000000000001E-3</v>
      </c>
      <c r="R44" s="4">
        <v>0.86</v>
      </c>
      <c r="S44">
        <v>1</v>
      </c>
      <c r="V44">
        <v>1</v>
      </c>
      <c r="W44" s="4">
        <v>0.86</v>
      </c>
      <c r="X44" t="s">
        <v>91</v>
      </c>
      <c r="Y44">
        <v>0.75</v>
      </c>
      <c r="AA44">
        <v>0</v>
      </c>
      <c r="BF44" s="4">
        <v>640</v>
      </c>
      <c r="BG44" s="4"/>
      <c r="BH44" s="4">
        <v>4480</v>
      </c>
    </row>
    <row r="45" spans="6:60" hidden="1">
      <c r="F45" s="2" t="s">
        <v>138</v>
      </c>
      <c r="J45" t="s">
        <v>89</v>
      </c>
      <c r="K45" s="2" t="s">
        <v>137</v>
      </c>
      <c r="O45" s="3">
        <f t="shared" si="0"/>
        <v>1.302</v>
      </c>
      <c r="P45" s="4">
        <v>0.01</v>
      </c>
      <c r="Q45">
        <f t="shared" si="1"/>
        <v>2E-3</v>
      </c>
      <c r="R45" s="4">
        <v>1.3</v>
      </c>
      <c r="S45">
        <v>1</v>
      </c>
      <c r="V45">
        <v>1</v>
      </c>
      <c r="W45" s="4">
        <v>1.3</v>
      </c>
      <c r="X45" t="s">
        <v>91</v>
      </c>
      <c r="Y45">
        <v>0.75</v>
      </c>
      <c r="AA45">
        <v>0</v>
      </c>
      <c r="BF45" s="4">
        <v>685</v>
      </c>
      <c r="BG45" s="4"/>
      <c r="BH45" s="4">
        <v>4795</v>
      </c>
    </row>
    <row r="46" spans="6:60" hidden="1">
      <c r="F46" s="2" t="s">
        <v>139</v>
      </c>
      <c r="J46" t="s">
        <v>89</v>
      </c>
      <c r="K46" s="2" t="s">
        <v>137</v>
      </c>
      <c r="O46" s="3">
        <f t="shared" si="0"/>
        <v>1.0860000000000001</v>
      </c>
      <c r="P46" s="4">
        <v>0.08</v>
      </c>
      <c r="Q46">
        <f t="shared" si="1"/>
        <v>1.6E-2</v>
      </c>
      <c r="R46" s="4">
        <v>1.07</v>
      </c>
      <c r="S46">
        <v>1</v>
      </c>
      <c r="V46">
        <v>1</v>
      </c>
      <c r="W46" s="4">
        <v>1.07</v>
      </c>
      <c r="X46" t="s">
        <v>91</v>
      </c>
      <c r="Y46">
        <v>0.75</v>
      </c>
      <c r="AA46">
        <v>0</v>
      </c>
      <c r="BF46" s="4">
        <v>565</v>
      </c>
      <c r="BG46" s="4"/>
      <c r="BH46" s="4">
        <v>3955</v>
      </c>
    </row>
    <row r="47" spans="6:60" hidden="1">
      <c r="F47" s="2" t="s">
        <v>140</v>
      </c>
      <c r="J47" t="s">
        <v>89</v>
      </c>
      <c r="K47" s="2" t="s">
        <v>137</v>
      </c>
      <c r="O47" s="3">
        <f t="shared" si="0"/>
        <v>2.0186000000000002</v>
      </c>
      <c r="P47" s="4">
        <v>0.39300000000000002</v>
      </c>
      <c r="Q47">
        <f t="shared" si="1"/>
        <v>7.8600000000000003E-2</v>
      </c>
      <c r="R47" s="4">
        <v>1.94</v>
      </c>
      <c r="S47">
        <v>1</v>
      </c>
      <c r="V47">
        <v>1</v>
      </c>
      <c r="W47" s="4">
        <v>1.94</v>
      </c>
      <c r="X47" t="s">
        <v>91</v>
      </c>
      <c r="Y47">
        <v>0.75</v>
      </c>
      <c r="AA47">
        <v>0</v>
      </c>
      <c r="BF47" s="4">
        <v>1277.5</v>
      </c>
      <c r="BG47" s="4"/>
      <c r="BH47" s="4">
        <v>8950</v>
      </c>
    </row>
    <row r="48" spans="6:60" hidden="1">
      <c r="F48" s="2" t="s">
        <v>141</v>
      </c>
      <c r="J48" t="s">
        <v>89</v>
      </c>
      <c r="K48" s="2" t="s">
        <v>137</v>
      </c>
      <c r="O48" s="3">
        <f t="shared" si="0"/>
        <v>21.84</v>
      </c>
      <c r="P48" s="4">
        <v>0.8</v>
      </c>
      <c r="Q48">
        <f t="shared" si="1"/>
        <v>0.16</v>
      </c>
      <c r="R48" s="4">
        <v>21.68</v>
      </c>
      <c r="S48">
        <v>1</v>
      </c>
      <c r="V48">
        <v>1</v>
      </c>
      <c r="W48" s="4">
        <v>21.68</v>
      </c>
      <c r="X48" t="s">
        <v>91</v>
      </c>
      <c r="Y48">
        <v>0.75</v>
      </c>
      <c r="AA48">
        <v>0</v>
      </c>
      <c r="BF48" s="4">
        <v>8780.36</v>
      </c>
      <c r="BG48" s="4"/>
      <c r="BH48" s="4">
        <v>61462.49</v>
      </c>
    </row>
    <row r="49" spans="6:60" hidden="1">
      <c r="F49" s="2" t="s">
        <v>142</v>
      </c>
      <c r="J49" t="s">
        <v>89</v>
      </c>
      <c r="K49" s="2" t="s">
        <v>137</v>
      </c>
      <c r="O49" s="3">
        <f t="shared" si="0"/>
        <v>3.246</v>
      </c>
      <c r="P49" s="4">
        <v>0.23</v>
      </c>
      <c r="Q49">
        <f t="shared" si="1"/>
        <v>4.5999999999999999E-2</v>
      </c>
      <c r="R49" s="4">
        <v>3.2</v>
      </c>
      <c r="S49">
        <v>1</v>
      </c>
      <c r="V49">
        <v>1</v>
      </c>
      <c r="W49" s="4">
        <v>3.2</v>
      </c>
      <c r="X49" t="s">
        <v>91</v>
      </c>
      <c r="Y49">
        <v>0.75</v>
      </c>
      <c r="AA49">
        <v>0</v>
      </c>
      <c r="BF49" s="4">
        <v>1177.8900000000001</v>
      </c>
      <c r="BG49" s="4"/>
      <c r="BH49" s="4">
        <v>8245.2199999999993</v>
      </c>
    </row>
    <row r="50" spans="6:60" hidden="1">
      <c r="F50" s="2" t="s">
        <v>143</v>
      </c>
      <c r="J50" t="s">
        <v>89</v>
      </c>
      <c r="K50" s="2" t="s">
        <v>137</v>
      </c>
      <c r="O50" s="3">
        <f t="shared" si="0"/>
        <v>2.794</v>
      </c>
      <c r="P50" s="4">
        <v>0.42</v>
      </c>
      <c r="Q50">
        <f t="shared" si="1"/>
        <v>8.3999999999999991E-2</v>
      </c>
      <c r="R50" s="4">
        <v>2.71</v>
      </c>
      <c r="S50">
        <v>1</v>
      </c>
      <c r="V50">
        <v>1</v>
      </c>
      <c r="W50" s="4">
        <v>2.71</v>
      </c>
      <c r="X50" t="s">
        <v>91</v>
      </c>
      <c r="Y50">
        <v>0.75</v>
      </c>
      <c r="AA50">
        <v>0</v>
      </c>
      <c r="BF50" s="4">
        <v>1328.42</v>
      </c>
      <c r="BG50" s="4"/>
      <c r="BH50" s="4">
        <v>9298.9699999999993</v>
      </c>
    </row>
    <row r="51" spans="6:60" hidden="1">
      <c r="F51" s="2" t="s">
        <v>144</v>
      </c>
      <c r="J51" t="s">
        <v>89</v>
      </c>
      <c r="K51" s="2" t="s">
        <v>137</v>
      </c>
      <c r="O51" s="3">
        <f t="shared" si="0"/>
        <v>11.5</v>
      </c>
      <c r="P51" s="5"/>
      <c r="Q51">
        <f t="shared" si="1"/>
        <v>0</v>
      </c>
      <c r="R51" s="4">
        <v>11.5</v>
      </c>
      <c r="S51">
        <v>1</v>
      </c>
      <c r="V51">
        <v>1</v>
      </c>
      <c r="W51" s="4">
        <v>11.5</v>
      </c>
      <c r="X51" t="s">
        <v>91</v>
      </c>
      <c r="Y51">
        <v>0.75</v>
      </c>
      <c r="AA51">
        <v>0</v>
      </c>
      <c r="BF51" s="4">
        <v>3800</v>
      </c>
      <c r="BG51" s="4"/>
      <c r="BH51" s="4">
        <v>14000</v>
      </c>
    </row>
    <row r="52" spans="6:60" hidden="1">
      <c r="F52" s="2" t="s">
        <v>145</v>
      </c>
      <c r="J52" t="s">
        <v>89</v>
      </c>
      <c r="K52" s="2" t="s">
        <v>137</v>
      </c>
      <c r="O52" s="3">
        <f t="shared" si="0"/>
        <v>1.1520000000000001</v>
      </c>
      <c r="P52" s="4">
        <v>0.16</v>
      </c>
      <c r="Q52">
        <f t="shared" si="1"/>
        <v>3.2000000000000001E-2</v>
      </c>
      <c r="R52" s="4">
        <v>1.1200000000000001</v>
      </c>
      <c r="S52">
        <v>1</v>
      </c>
      <c r="V52">
        <v>1</v>
      </c>
      <c r="W52" s="4">
        <v>1.1200000000000001</v>
      </c>
      <c r="X52" t="s">
        <v>91</v>
      </c>
      <c r="Y52">
        <v>0.75</v>
      </c>
      <c r="AA52">
        <v>0</v>
      </c>
      <c r="BF52" s="4">
        <v>1087.7</v>
      </c>
      <c r="BG52" s="4"/>
      <c r="BH52" s="4">
        <v>7613.9</v>
      </c>
    </row>
    <row r="53" spans="6:60" hidden="1">
      <c r="F53" s="2" t="s">
        <v>146</v>
      </c>
      <c r="J53" t="s">
        <v>89</v>
      </c>
      <c r="K53" s="2" t="s">
        <v>137</v>
      </c>
      <c r="O53" s="3">
        <f t="shared" si="0"/>
        <v>1.3240000000000001</v>
      </c>
      <c r="P53" s="4">
        <v>0.12</v>
      </c>
      <c r="Q53">
        <f t="shared" si="1"/>
        <v>2.4E-2</v>
      </c>
      <c r="R53" s="4">
        <v>1.3</v>
      </c>
      <c r="S53">
        <v>1</v>
      </c>
      <c r="V53">
        <v>1</v>
      </c>
      <c r="W53" s="4">
        <v>1.3</v>
      </c>
      <c r="X53" t="s">
        <v>91</v>
      </c>
      <c r="Y53">
        <v>0.75</v>
      </c>
      <c r="AA53">
        <v>0</v>
      </c>
      <c r="BF53" s="4">
        <v>989.15</v>
      </c>
      <c r="BG53" s="4"/>
      <c r="BH53" s="4">
        <v>6924.05</v>
      </c>
    </row>
    <row r="54" spans="6:60" hidden="1">
      <c r="F54" s="2" t="s">
        <v>147</v>
      </c>
      <c r="J54" t="s">
        <v>89</v>
      </c>
      <c r="K54" s="2" t="s">
        <v>137</v>
      </c>
      <c r="O54" s="3">
        <f t="shared" si="0"/>
        <v>1.3839999999999999</v>
      </c>
      <c r="P54" s="4">
        <v>0.02</v>
      </c>
      <c r="Q54">
        <f t="shared" si="1"/>
        <v>4.0000000000000001E-3</v>
      </c>
      <c r="R54" s="4">
        <v>1.38</v>
      </c>
      <c r="S54">
        <v>1</v>
      </c>
      <c r="V54">
        <v>1</v>
      </c>
      <c r="W54" s="4">
        <v>1.38</v>
      </c>
      <c r="X54" t="s">
        <v>91</v>
      </c>
      <c r="Y54">
        <v>0.75</v>
      </c>
      <c r="AA54">
        <v>0</v>
      </c>
      <c r="BF54" s="4">
        <v>700</v>
      </c>
      <c r="BG54" s="4"/>
      <c r="BH54" s="4">
        <v>4900</v>
      </c>
    </row>
    <row r="55" spans="6:60" hidden="1">
      <c r="F55" s="2" t="s">
        <v>148</v>
      </c>
      <c r="J55" t="s">
        <v>89</v>
      </c>
      <c r="K55" s="2" t="s">
        <v>149</v>
      </c>
      <c r="O55" s="3">
        <f t="shared" si="0"/>
        <v>0.98399999999999999</v>
      </c>
      <c r="P55" s="4">
        <v>0.02</v>
      </c>
      <c r="Q55">
        <f t="shared" si="1"/>
        <v>4.0000000000000001E-3</v>
      </c>
      <c r="R55" s="4">
        <v>0.98</v>
      </c>
      <c r="S55">
        <v>1</v>
      </c>
      <c r="V55">
        <v>1</v>
      </c>
      <c r="W55" s="4">
        <v>0.98</v>
      </c>
      <c r="X55" t="s">
        <v>91</v>
      </c>
      <c r="Y55">
        <v>0.75</v>
      </c>
      <c r="AA55">
        <v>0</v>
      </c>
      <c r="BF55" s="4">
        <v>490</v>
      </c>
      <c r="BG55" s="4"/>
      <c r="BH55" s="4">
        <v>3430</v>
      </c>
    </row>
    <row r="56" spans="6:60" hidden="1">
      <c r="F56" s="2" t="s">
        <v>150</v>
      </c>
      <c r="J56" t="s">
        <v>89</v>
      </c>
      <c r="K56" s="2" t="s">
        <v>149</v>
      </c>
      <c r="O56" s="3">
        <f t="shared" si="0"/>
        <v>2.6259999999999999</v>
      </c>
      <c r="P56" s="4">
        <v>0.33</v>
      </c>
      <c r="Q56">
        <f t="shared" si="1"/>
        <v>6.6000000000000003E-2</v>
      </c>
      <c r="R56" s="4">
        <v>2.56</v>
      </c>
      <c r="S56">
        <v>1</v>
      </c>
      <c r="V56">
        <v>1</v>
      </c>
      <c r="W56" s="4">
        <v>2.56</v>
      </c>
      <c r="X56" t="s">
        <v>91</v>
      </c>
      <c r="Y56">
        <v>0.75</v>
      </c>
      <c r="AA56">
        <v>0</v>
      </c>
      <c r="BF56" s="4">
        <v>1075.71</v>
      </c>
      <c r="BG56" s="4"/>
      <c r="BH56" s="4">
        <v>7529.97</v>
      </c>
    </row>
    <row r="57" spans="6:60" hidden="1">
      <c r="F57" s="2" t="s">
        <v>151</v>
      </c>
      <c r="J57" t="s">
        <v>89</v>
      </c>
      <c r="K57" s="2" t="s">
        <v>149</v>
      </c>
      <c r="O57" s="3">
        <f t="shared" si="0"/>
        <v>1.6779999999999999</v>
      </c>
      <c r="P57" s="4">
        <v>0.09</v>
      </c>
      <c r="Q57">
        <f t="shared" si="1"/>
        <v>1.7999999999999999E-2</v>
      </c>
      <c r="R57" s="4">
        <v>1.66</v>
      </c>
      <c r="S57">
        <v>1</v>
      </c>
      <c r="V57">
        <v>1</v>
      </c>
      <c r="W57" s="4">
        <v>1.66</v>
      </c>
      <c r="X57" t="s">
        <v>91</v>
      </c>
      <c r="Y57">
        <v>0.75</v>
      </c>
      <c r="AA57">
        <v>0</v>
      </c>
      <c r="BF57" s="4">
        <v>596.42999999999995</v>
      </c>
      <c r="BG57" s="4"/>
      <c r="BH57" s="4">
        <v>4175.01</v>
      </c>
    </row>
    <row r="58" spans="6:60" hidden="1">
      <c r="F58" s="2" t="s">
        <v>152</v>
      </c>
      <c r="J58" t="s">
        <v>89</v>
      </c>
      <c r="K58" s="2" t="s">
        <v>149</v>
      </c>
      <c r="O58" s="3">
        <f t="shared" si="0"/>
        <v>1.972</v>
      </c>
      <c r="P58" s="4">
        <v>0.21</v>
      </c>
      <c r="Q58">
        <f t="shared" si="1"/>
        <v>4.1999999999999996E-2</v>
      </c>
      <c r="R58" s="4">
        <v>1.93</v>
      </c>
      <c r="S58">
        <v>1</v>
      </c>
      <c r="V58">
        <v>1</v>
      </c>
      <c r="W58" s="4">
        <v>1.93</v>
      </c>
      <c r="X58" t="s">
        <v>91</v>
      </c>
      <c r="Y58">
        <v>0.75</v>
      </c>
      <c r="AA58">
        <v>0</v>
      </c>
      <c r="BF58" s="4">
        <v>783.11</v>
      </c>
      <c r="BG58" s="4"/>
      <c r="BH58" s="4">
        <v>5481.8</v>
      </c>
    </row>
    <row r="59" spans="6:60" hidden="1">
      <c r="F59" s="2" t="s">
        <v>153</v>
      </c>
      <c r="J59" t="s">
        <v>89</v>
      </c>
      <c r="K59" s="2" t="s">
        <v>149</v>
      </c>
      <c r="O59" s="3">
        <f t="shared" si="0"/>
        <v>1.782</v>
      </c>
      <c r="P59" s="4">
        <v>0.11</v>
      </c>
      <c r="Q59">
        <f t="shared" si="1"/>
        <v>2.1999999999999999E-2</v>
      </c>
      <c r="R59" s="4">
        <v>1.76</v>
      </c>
      <c r="S59">
        <v>1</v>
      </c>
      <c r="V59">
        <v>1</v>
      </c>
      <c r="W59" s="4">
        <v>1.76</v>
      </c>
      <c r="X59" t="s">
        <v>91</v>
      </c>
      <c r="Y59">
        <v>0.75</v>
      </c>
      <c r="AA59">
        <v>0</v>
      </c>
      <c r="BF59" s="4">
        <v>645.24</v>
      </c>
      <c r="BG59" s="4"/>
      <c r="BH59" s="4">
        <v>4516.67</v>
      </c>
    </row>
    <row r="60" spans="6:60" hidden="1">
      <c r="F60" s="2" t="s">
        <v>154</v>
      </c>
      <c r="J60" t="s">
        <v>89</v>
      </c>
      <c r="K60" s="2" t="s">
        <v>149</v>
      </c>
      <c r="O60" s="3">
        <f t="shared" si="0"/>
        <v>2.3279999999999998</v>
      </c>
      <c r="P60" s="4">
        <v>0.09</v>
      </c>
      <c r="Q60">
        <f t="shared" si="1"/>
        <v>1.7999999999999999E-2</v>
      </c>
      <c r="R60" s="4">
        <v>2.31</v>
      </c>
      <c r="S60">
        <v>1</v>
      </c>
      <c r="V60">
        <v>1</v>
      </c>
      <c r="W60" s="4">
        <v>2.31</v>
      </c>
      <c r="X60" t="s">
        <v>91</v>
      </c>
      <c r="Y60">
        <v>0.75</v>
      </c>
      <c r="AA60">
        <v>0</v>
      </c>
      <c r="BF60" s="4">
        <v>791.19</v>
      </c>
      <c r="BG60" s="4"/>
      <c r="BH60" s="4">
        <v>5538.32</v>
      </c>
    </row>
    <row r="61" spans="6:60" hidden="1">
      <c r="F61" s="2" t="s">
        <v>155</v>
      </c>
      <c r="J61" t="s">
        <v>89</v>
      </c>
      <c r="K61" s="2" t="s">
        <v>149</v>
      </c>
      <c r="O61" s="3">
        <f t="shared" si="0"/>
        <v>7.8520000000000003</v>
      </c>
      <c r="P61" s="4">
        <v>2.0099999999999998</v>
      </c>
      <c r="Q61">
        <f t="shared" si="1"/>
        <v>0.40199999999999997</v>
      </c>
      <c r="R61" s="4">
        <v>7.45</v>
      </c>
      <c r="S61">
        <v>1</v>
      </c>
      <c r="V61">
        <v>1</v>
      </c>
      <c r="W61" s="4">
        <v>7.45</v>
      </c>
      <c r="X61" t="s">
        <v>91</v>
      </c>
      <c r="Y61">
        <v>0.75</v>
      </c>
      <c r="AA61">
        <v>0</v>
      </c>
      <c r="BF61" s="4">
        <v>4030.91</v>
      </c>
      <c r="BG61" s="4"/>
      <c r="BH61" s="4">
        <v>28216.36</v>
      </c>
    </row>
    <row r="62" spans="6:60" hidden="1">
      <c r="F62" s="2" t="s">
        <v>156</v>
      </c>
      <c r="J62" t="s">
        <v>89</v>
      </c>
      <c r="K62" s="2" t="s">
        <v>149</v>
      </c>
      <c r="O62" s="3">
        <f t="shared" si="0"/>
        <v>9.6620000000000008</v>
      </c>
      <c r="P62" s="4">
        <v>1.66</v>
      </c>
      <c r="Q62">
        <f t="shared" si="1"/>
        <v>0.33199999999999996</v>
      </c>
      <c r="R62" s="4">
        <v>9.33</v>
      </c>
      <c r="S62">
        <v>1</v>
      </c>
      <c r="V62">
        <v>1</v>
      </c>
      <c r="W62" s="4">
        <v>9.33</v>
      </c>
      <c r="X62" t="s">
        <v>91</v>
      </c>
      <c r="Y62">
        <v>0.75</v>
      </c>
      <c r="AA62">
        <v>0</v>
      </c>
      <c r="BF62" s="4">
        <v>4247.97</v>
      </c>
      <c r="BG62" s="4"/>
      <c r="BH62" s="4">
        <v>29735.79</v>
      </c>
    </row>
    <row r="63" spans="6:60" hidden="1">
      <c r="F63" s="2" t="s">
        <v>157</v>
      </c>
      <c r="J63" t="s">
        <v>89</v>
      </c>
      <c r="K63" s="2" t="s">
        <v>149</v>
      </c>
      <c r="O63" s="3">
        <f t="shared" si="0"/>
        <v>1.97</v>
      </c>
      <c r="P63" s="4">
        <v>0.4</v>
      </c>
      <c r="Q63">
        <f t="shared" si="1"/>
        <v>0.08</v>
      </c>
      <c r="R63" s="4">
        <v>1.89</v>
      </c>
      <c r="S63">
        <v>1</v>
      </c>
      <c r="V63">
        <v>1</v>
      </c>
      <c r="W63" s="4">
        <v>1.89</v>
      </c>
      <c r="X63" t="s">
        <v>91</v>
      </c>
      <c r="Y63">
        <v>0.75</v>
      </c>
      <c r="AA63">
        <v>0</v>
      </c>
      <c r="BF63" s="4">
        <v>584</v>
      </c>
      <c r="BG63" s="4"/>
      <c r="BH63" s="4">
        <v>4088</v>
      </c>
    </row>
    <row r="64" spans="6:60" hidden="1">
      <c r="F64" s="2" t="s">
        <v>158</v>
      </c>
      <c r="J64" t="s">
        <v>89</v>
      </c>
      <c r="K64" s="2" t="s">
        <v>149</v>
      </c>
      <c r="O64" s="3">
        <f t="shared" si="0"/>
        <v>1.97</v>
      </c>
      <c r="P64" s="4">
        <v>0.4</v>
      </c>
      <c r="Q64">
        <f t="shared" si="1"/>
        <v>0.08</v>
      </c>
      <c r="R64" s="4">
        <v>1.89</v>
      </c>
      <c r="S64">
        <v>1</v>
      </c>
      <c r="V64">
        <v>1</v>
      </c>
      <c r="W64" s="4">
        <v>1.89</v>
      </c>
      <c r="X64" t="s">
        <v>91</v>
      </c>
      <c r="Y64">
        <v>0.75</v>
      </c>
      <c r="AA64">
        <v>0</v>
      </c>
      <c r="BF64" s="4">
        <v>1168</v>
      </c>
      <c r="BG64" s="4"/>
      <c r="BH64" s="4">
        <v>8176</v>
      </c>
    </row>
    <row r="65" spans="6:60" hidden="1">
      <c r="F65" s="2" t="s">
        <v>159</v>
      </c>
      <c r="J65" t="s">
        <v>89</v>
      </c>
      <c r="K65" s="2" t="s">
        <v>149</v>
      </c>
      <c r="O65" s="3">
        <f t="shared" si="0"/>
        <v>3.1159999999999997</v>
      </c>
      <c r="P65" s="4">
        <v>0.03</v>
      </c>
      <c r="Q65">
        <f t="shared" si="1"/>
        <v>6.0000000000000001E-3</v>
      </c>
      <c r="R65" s="4">
        <v>3.11</v>
      </c>
      <c r="S65">
        <v>1</v>
      </c>
      <c r="V65">
        <v>1</v>
      </c>
      <c r="W65" s="4">
        <v>3.11</v>
      </c>
      <c r="X65" t="s">
        <v>91</v>
      </c>
      <c r="Y65">
        <v>0.75</v>
      </c>
      <c r="AA65">
        <v>0</v>
      </c>
      <c r="BF65" s="4">
        <v>1500</v>
      </c>
      <c r="BG65" s="4"/>
      <c r="BH65" s="4">
        <v>10500</v>
      </c>
    </row>
    <row r="66" spans="6:60" hidden="1">
      <c r="F66" s="2" t="s">
        <v>160</v>
      </c>
      <c r="J66" t="s">
        <v>89</v>
      </c>
      <c r="K66" s="2" t="s">
        <v>149</v>
      </c>
      <c r="O66" s="3">
        <f t="shared" si="0"/>
        <v>2.6259999999999999</v>
      </c>
      <c r="P66" s="4">
        <v>0.28000000000000003</v>
      </c>
      <c r="Q66">
        <f t="shared" si="1"/>
        <v>5.6000000000000008E-2</v>
      </c>
      <c r="R66" s="4">
        <v>2.57</v>
      </c>
      <c r="S66">
        <v>1</v>
      </c>
      <c r="V66">
        <v>1</v>
      </c>
      <c r="W66" s="4">
        <v>2.57</v>
      </c>
      <c r="X66" t="s">
        <v>91</v>
      </c>
      <c r="Y66">
        <v>0.75</v>
      </c>
      <c r="AA66">
        <v>0</v>
      </c>
      <c r="BF66" s="4">
        <v>1050.29</v>
      </c>
      <c r="BG66" s="4"/>
      <c r="BH66" s="4">
        <v>7352.04</v>
      </c>
    </row>
    <row r="67" spans="6:60" hidden="1">
      <c r="F67" s="2" t="s">
        <v>161</v>
      </c>
      <c r="J67" t="s">
        <v>89</v>
      </c>
      <c r="K67" s="2" t="s">
        <v>162</v>
      </c>
      <c r="O67" s="3">
        <f t="shared" ref="O67:O130" si="2">Q67+R67</f>
        <v>5.86</v>
      </c>
      <c r="P67" s="4">
        <v>2.0499999999999998</v>
      </c>
      <c r="Q67">
        <f t="shared" ref="Q67:Q130" si="3">P67/5</f>
        <v>0.41</v>
      </c>
      <c r="R67" s="4">
        <v>5.45</v>
      </c>
      <c r="S67">
        <v>1</v>
      </c>
      <c r="V67">
        <v>1</v>
      </c>
      <c r="W67" s="4">
        <v>5.45</v>
      </c>
      <c r="X67" t="s">
        <v>91</v>
      </c>
      <c r="Y67">
        <v>0.75</v>
      </c>
      <c r="AA67">
        <v>0</v>
      </c>
      <c r="BF67" s="4">
        <v>5110</v>
      </c>
      <c r="BG67" s="4"/>
      <c r="BH67" s="4">
        <v>35800</v>
      </c>
    </row>
    <row r="68" spans="6:60" hidden="1">
      <c r="F68" s="2" t="s">
        <v>163</v>
      </c>
      <c r="J68" t="s">
        <v>89</v>
      </c>
      <c r="K68" s="2" t="s">
        <v>162</v>
      </c>
      <c r="O68" s="3">
        <f t="shared" si="2"/>
        <v>9.4320000000000004</v>
      </c>
      <c r="P68" s="4">
        <v>5.61</v>
      </c>
      <c r="Q68">
        <f t="shared" si="3"/>
        <v>1.1220000000000001</v>
      </c>
      <c r="R68" s="4">
        <v>8.31</v>
      </c>
      <c r="S68">
        <v>1</v>
      </c>
      <c r="V68">
        <v>1</v>
      </c>
      <c r="W68" s="4">
        <v>8.31</v>
      </c>
      <c r="X68" t="s">
        <v>91</v>
      </c>
      <c r="Y68">
        <v>0.75</v>
      </c>
      <c r="AA68">
        <v>0</v>
      </c>
      <c r="BF68" s="4">
        <v>14965</v>
      </c>
      <c r="BG68" s="4"/>
      <c r="BH68" s="4">
        <v>104800</v>
      </c>
    </row>
    <row r="69" spans="6:60" hidden="1">
      <c r="F69" s="2" t="s">
        <v>164</v>
      </c>
      <c r="J69" t="s">
        <v>89</v>
      </c>
      <c r="K69" s="2" t="s">
        <v>162</v>
      </c>
      <c r="O69" s="3">
        <f t="shared" si="2"/>
        <v>7.0540000000000003</v>
      </c>
      <c r="P69" s="4">
        <v>3.02</v>
      </c>
      <c r="Q69">
        <f t="shared" si="3"/>
        <v>0.60399999999999998</v>
      </c>
      <c r="R69" s="4">
        <v>6.45</v>
      </c>
      <c r="S69">
        <v>1</v>
      </c>
      <c r="V69">
        <v>1</v>
      </c>
      <c r="W69" s="4">
        <v>6.45</v>
      </c>
      <c r="X69" t="s">
        <v>91</v>
      </c>
      <c r="Y69">
        <v>0.75</v>
      </c>
      <c r="AA69">
        <v>0</v>
      </c>
      <c r="BF69" s="4">
        <v>7227</v>
      </c>
      <c r="BG69" s="4"/>
      <c r="BH69" s="4">
        <v>50600</v>
      </c>
    </row>
    <row r="70" spans="6:60" hidden="1">
      <c r="F70" s="2" t="s">
        <v>165</v>
      </c>
      <c r="J70" t="s">
        <v>89</v>
      </c>
      <c r="K70" s="2" t="s">
        <v>162</v>
      </c>
      <c r="O70" s="3">
        <f t="shared" si="2"/>
        <v>16.457999999999998</v>
      </c>
      <c r="P70" s="4">
        <v>1.39</v>
      </c>
      <c r="Q70">
        <f t="shared" si="3"/>
        <v>0.27799999999999997</v>
      </c>
      <c r="R70" s="4">
        <v>16.18</v>
      </c>
      <c r="S70">
        <v>1</v>
      </c>
      <c r="V70">
        <v>1</v>
      </c>
      <c r="W70" s="4">
        <v>16.18</v>
      </c>
      <c r="X70" t="s">
        <v>91</v>
      </c>
      <c r="Y70">
        <v>0.75</v>
      </c>
      <c r="AA70">
        <v>0</v>
      </c>
      <c r="BF70" s="4">
        <v>6640</v>
      </c>
      <c r="BG70" s="4"/>
      <c r="BH70" s="4">
        <v>32000</v>
      </c>
    </row>
    <row r="71" spans="6:60" hidden="1">
      <c r="F71" s="2" t="s">
        <v>166</v>
      </c>
      <c r="J71" t="s">
        <v>89</v>
      </c>
      <c r="K71" s="2" t="s">
        <v>162</v>
      </c>
      <c r="O71" s="3">
        <f t="shared" si="2"/>
        <v>14.782</v>
      </c>
      <c r="P71" s="4">
        <v>3.31</v>
      </c>
      <c r="Q71">
        <f t="shared" si="3"/>
        <v>0.66200000000000003</v>
      </c>
      <c r="R71" s="4">
        <v>14.12</v>
      </c>
      <c r="S71">
        <v>1</v>
      </c>
      <c r="V71">
        <v>1</v>
      </c>
      <c r="W71" s="4">
        <v>14.12</v>
      </c>
      <c r="X71" t="s">
        <v>91</v>
      </c>
      <c r="Y71">
        <v>0.75</v>
      </c>
      <c r="AA71">
        <v>0</v>
      </c>
      <c r="BF71" s="4">
        <v>7652.21</v>
      </c>
      <c r="BG71" s="4"/>
      <c r="BH71" s="4">
        <v>53565.440000000002</v>
      </c>
    </row>
    <row r="72" spans="6:60" hidden="1">
      <c r="F72" s="2" t="s">
        <v>167</v>
      </c>
      <c r="J72" t="s">
        <v>89</v>
      </c>
      <c r="K72" s="2" t="s">
        <v>162</v>
      </c>
      <c r="O72" s="3">
        <f t="shared" si="2"/>
        <v>18.821999999999999</v>
      </c>
      <c r="P72" s="4">
        <v>2.76</v>
      </c>
      <c r="Q72">
        <f t="shared" si="3"/>
        <v>0.55199999999999994</v>
      </c>
      <c r="R72" s="4">
        <v>18.27</v>
      </c>
      <c r="S72">
        <v>1</v>
      </c>
      <c r="V72">
        <v>1</v>
      </c>
      <c r="W72" s="4">
        <v>18.27</v>
      </c>
      <c r="X72" t="s">
        <v>91</v>
      </c>
      <c r="Y72">
        <v>0.75</v>
      </c>
      <c r="AA72">
        <v>0</v>
      </c>
      <c r="BF72" s="4">
        <v>7884.54</v>
      </c>
      <c r="BG72" s="4"/>
      <c r="BH72" s="4">
        <v>55191.77</v>
      </c>
    </row>
    <row r="73" spans="6:60" hidden="1">
      <c r="F73" s="2" t="s">
        <v>168</v>
      </c>
      <c r="J73" t="s">
        <v>89</v>
      </c>
      <c r="K73" s="2" t="s">
        <v>162</v>
      </c>
      <c r="O73" s="3">
        <f t="shared" si="2"/>
        <v>6.63</v>
      </c>
      <c r="P73" s="4">
        <v>0.6</v>
      </c>
      <c r="Q73">
        <f t="shared" si="3"/>
        <v>0.12</v>
      </c>
      <c r="R73" s="4">
        <v>6.51</v>
      </c>
      <c r="S73">
        <v>1</v>
      </c>
      <c r="V73">
        <v>1</v>
      </c>
      <c r="W73" s="4">
        <v>6.51</v>
      </c>
      <c r="X73" t="s">
        <v>91</v>
      </c>
      <c r="Y73">
        <v>0.75</v>
      </c>
      <c r="AA73">
        <v>0</v>
      </c>
      <c r="BF73" s="4">
        <v>3087.49</v>
      </c>
      <c r="BG73" s="4"/>
      <c r="BH73" s="4">
        <v>21612.43</v>
      </c>
    </row>
    <row r="74" spans="6:60" hidden="1">
      <c r="F74" s="2" t="s">
        <v>169</v>
      </c>
      <c r="J74" t="s">
        <v>89</v>
      </c>
      <c r="K74" s="2" t="s">
        <v>162</v>
      </c>
      <c r="O74" s="3">
        <f t="shared" si="2"/>
        <v>11.846</v>
      </c>
      <c r="P74" s="4">
        <v>2.58</v>
      </c>
      <c r="Q74">
        <f t="shared" si="3"/>
        <v>0.51600000000000001</v>
      </c>
      <c r="R74" s="4">
        <v>11.33</v>
      </c>
      <c r="S74">
        <v>1</v>
      </c>
      <c r="V74">
        <v>1</v>
      </c>
      <c r="W74" s="4">
        <v>11.33</v>
      </c>
      <c r="X74" t="s">
        <v>91</v>
      </c>
      <c r="Y74">
        <v>0.75</v>
      </c>
      <c r="AA74">
        <v>0</v>
      </c>
      <c r="BF74" s="4">
        <v>7183.14</v>
      </c>
      <c r="BG74" s="4"/>
      <c r="BH74" s="4">
        <v>50281.99</v>
      </c>
    </row>
    <row r="75" spans="6:60" hidden="1">
      <c r="F75" s="2" t="s">
        <v>170</v>
      </c>
      <c r="J75" t="s">
        <v>89</v>
      </c>
      <c r="K75" s="2" t="s">
        <v>162</v>
      </c>
      <c r="O75" s="3">
        <f t="shared" si="2"/>
        <v>16.87</v>
      </c>
      <c r="P75" s="4">
        <v>4.8499999999999996</v>
      </c>
      <c r="Q75">
        <f t="shared" si="3"/>
        <v>0.97</v>
      </c>
      <c r="R75" s="4">
        <v>15.9</v>
      </c>
      <c r="S75">
        <v>1</v>
      </c>
      <c r="V75">
        <v>1</v>
      </c>
      <c r="W75" s="4">
        <v>15.9</v>
      </c>
      <c r="X75" t="s">
        <v>91</v>
      </c>
      <c r="Y75">
        <v>0.75</v>
      </c>
      <c r="AA75">
        <v>0</v>
      </c>
      <c r="BF75" s="4">
        <v>14548.94</v>
      </c>
      <c r="BG75" s="4"/>
      <c r="BH75" s="4">
        <v>101842.56</v>
      </c>
    </row>
    <row r="76" spans="6:60" hidden="1">
      <c r="F76" s="2" t="s">
        <v>171</v>
      </c>
      <c r="J76" t="s">
        <v>89</v>
      </c>
      <c r="K76" s="2" t="s">
        <v>162</v>
      </c>
      <c r="O76" s="3">
        <f t="shared" si="2"/>
        <v>6.298</v>
      </c>
      <c r="P76" s="4">
        <v>0.39</v>
      </c>
      <c r="Q76">
        <f t="shared" si="3"/>
        <v>7.8E-2</v>
      </c>
      <c r="R76" s="4">
        <v>6.22</v>
      </c>
      <c r="S76">
        <v>1</v>
      </c>
      <c r="V76">
        <v>1</v>
      </c>
      <c r="W76" s="4">
        <v>6.22</v>
      </c>
      <c r="X76" t="s">
        <v>91</v>
      </c>
      <c r="Y76">
        <v>0.75</v>
      </c>
      <c r="AA76">
        <v>0</v>
      </c>
      <c r="BF76" s="4">
        <v>2887.85</v>
      </c>
      <c r="BG76" s="4"/>
      <c r="BH76" s="4">
        <v>20214.98</v>
      </c>
    </row>
    <row r="77" spans="6:60" hidden="1">
      <c r="F77" s="2" t="s">
        <v>172</v>
      </c>
      <c r="J77" t="s">
        <v>89</v>
      </c>
      <c r="K77" s="2" t="s">
        <v>162</v>
      </c>
      <c r="O77" s="3">
        <f t="shared" si="2"/>
        <v>7.4319999999999995</v>
      </c>
      <c r="P77" s="4">
        <v>0.78</v>
      </c>
      <c r="Q77">
        <f t="shared" si="3"/>
        <v>0.156</v>
      </c>
      <c r="R77" s="4">
        <v>7.2759999999999998</v>
      </c>
      <c r="S77">
        <v>1</v>
      </c>
      <c r="V77">
        <v>1</v>
      </c>
      <c r="W77" s="4">
        <v>7.2759999999999998</v>
      </c>
      <c r="X77" t="s">
        <v>91</v>
      </c>
      <c r="Y77">
        <v>0.75</v>
      </c>
      <c r="AA77">
        <v>0</v>
      </c>
      <c r="BF77" s="4">
        <v>3480.96</v>
      </c>
      <c r="BG77" s="4"/>
      <c r="BH77" s="4">
        <v>24366.73</v>
      </c>
    </row>
    <row r="78" spans="6:60" hidden="1">
      <c r="F78" s="2" t="s">
        <v>173</v>
      </c>
      <c r="J78" t="s">
        <v>89</v>
      </c>
      <c r="K78" s="2" t="s">
        <v>162</v>
      </c>
      <c r="O78" s="3">
        <f t="shared" si="2"/>
        <v>8.1939999999999991</v>
      </c>
      <c r="P78" s="4">
        <v>4.87</v>
      </c>
      <c r="Q78">
        <f t="shared" si="3"/>
        <v>0.97399999999999998</v>
      </c>
      <c r="R78" s="4">
        <v>7.22</v>
      </c>
      <c r="S78">
        <v>1</v>
      </c>
      <c r="V78">
        <v>1</v>
      </c>
      <c r="W78" s="4">
        <v>7.22</v>
      </c>
      <c r="X78" t="s">
        <v>91</v>
      </c>
      <c r="Y78">
        <v>0.75</v>
      </c>
      <c r="AA78">
        <v>0</v>
      </c>
      <c r="BF78" s="4">
        <v>8132.11</v>
      </c>
      <c r="BG78" s="4"/>
      <c r="BH78" s="4">
        <v>56924.78</v>
      </c>
    </row>
    <row r="79" spans="6:60" hidden="1">
      <c r="F79" s="2" t="s">
        <v>174</v>
      </c>
      <c r="J79" t="s">
        <v>89</v>
      </c>
      <c r="K79" s="2" t="s">
        <v>162</v>
      </c>
      <c r="O79" s="3">
        <f t="shared" si="2"/>
        <v>7.056</v>
      </c>
      <c r="P79" s="4">
        <v>4.53</v>
      </c>
      <c r="Q79">
        <f t="shared" si="3"/>
        <v>0.90600000000000003</v>
      </c>
      <c r="R79" s="4">
        <v>6.15</v>
      </c>
      <c r="S79">
        <v>1</v>
      </c>
      <c r="V79">
        <v>1</v>
      </c>
      <c r="W79" s="4">
        <v>6.15</v>
      </c>
      <c r="X79" t="s">
        <v>91</v>
      </c>
      <c r="Y79">
        <v>0.75</v>
      </c>
      <c r="AA79">
        <v>0</v>
      </c>
      <c r="BF79" s="4">
        <v>7378.43</v>
      </c>
      <c r="BG79" s="4"/>
      <c r="BH79" s="4">
        <v>51649.03</v>
      </c>
    </row>
    <row r="80" spans="6:60" hidden="1">
      <c r="F80" s="2" t="s">
        <v>175</v>
      </c>
      <c r="J80" t="s">
        <v>89</v>
      </c>
      <c r="K80" s="2" t="s">
        <v>162</v>
      </c>
      <c r="O80" s="3">
        <f t="shared" si="2"/>
        <v>8.5739999999999998</v>
      </c>
      <c r="P80" s="4">
        <v>5.97</v>
      </c>
      <c r="Q80">
        <f t="shared" si="3"/>
        <v>1.194</v>
      </c>
      <c r="R80" s="4">
        <v>7.38</v>
      </c>
      <c r="S80">
        <v>1</v>
      </c>
      <c r="V80">
        <v>1</v>
      </c>
      <c r="W80" s="4">
        <v>7.38</v>
      </c>
      <c r="X80" t="s">
        <v>91</v>
      </c>
      <c r="Y80">
        <v>0.75</v>
      </c>
      <c r="AA80">
        <v>0</v>
      </c>
      <c r="BF80" s="4">
        <v>9475.1200000000008</v>
      </c>
      <c r="BG80" s="4"/>
      <c r="BH80" s="4">
        <v>66325.83</v>
      </c>
    </row>
    <row r="81" spans="6:60" hidden="1">
      <c r="F81" s="2" t="s">
        <v>176</v>
      </c>
      <c r="J81" t="s">
        <v>89</v>
      </c>
      <c r="K81" s="2" t="s">
        <v>162</v>
      </c>
      <c r="O81" s="3">
        <f t="shared" si="2"/>
        <v>5.508</v>
      </c>
      <c r="P81" s="4">
        <v>2.94</v>
      </c>
      <c r="Q81">
        <f t="shared" si="3"/>
        <v>0.58799999999999997</v>
      </c>
      <c r="R81" s="4">
        <v>4.92</v>
      </c>
      <c r="S81">
        <v>1</v>
      </c>
      <c r="V81">
        <v>1</v>
      </c>
      <c r="W81" s="4">
        <v>4.92</v>
      </c>
      <c r="X81" t="s">
        <v>91</v>
      </c>
      <c r="Y81">
        <v>0.75</v>
      </c>
      <c r="AA81">
        <v>0</v>
      </c>
      <c r="BF81" s="4">
        <v>4135</v>
      </c>
      <c r="BG81" s="4"/>
      <c r="BH81" s="4">
        <v>28900</v>
      </c>
    </row>
    <row r="82" spans="6:60" hidden="1">
      <c r="F82" s="2" t="s">
        <v>177</v>
      </c>
      <c r="J82" t="s">
        <v>89</v>
      </c>
      <c r="K82" s="2" t="s">
        <v>162</v>
      </c>
      <c r="O82" s="3">
        <f t="shared" si="2"/>
        <v>1.8180000000000001</v>
      </c>
      <c r="P82" s="4">
        <v>0.24</v>
      </c>
      <c r="Q82">
        <f t="shared" si="3"/>
        <v>4.8000000000000001E-2</v>
      </c>
      <c r="R82" s="4">
        <v>1.77</v>
      </c>
      <c r="S82">
        <v>1</v>
      </c>
      <c r="V82">
        <v>1</v>
      </c>
      <c r="W82" s="4">
        <v>1.77</v>
      </c>
      <c r="X82" t="s">
        <v>91</v>
      </c>
      <c r="Y82">
        <v>0.75</v>
      </c>
      <c r="AA82">
        <v>0</v>
      </c>
      <c r="BF82" s="4">
        <v>759.82</v>
      </c>
      <c r="BG82" s="4"/>
      <c r="BH82" s="4">
        <v>5318.74</v>
      </c>
    </row>
    <row r="83" spans="6:60" hidden="1">
      <c r="F83" s="2" t="s">
        <v>178</v>
      </c>
      <c r="J83" t="s">
        <v>89</v>
      </c>
      <c r="K83" s="2" t="s">
        <v>162</v>
      </c>
      <c r="O83" s="3">
        <f t="shared" si="2"/>
        <v>2.536</v>
      </c>
      <c r="P83" s="4">
        <v>0.38</v>
      </c>
      <c r="Q83">
        <f t="shared" si="3"/>
        <v>7.5999999999999998E-2</v>
      </c>
      <c r="R83" s="4">
        <v>2.46</v>
      </c>
      <c r="S83">
        <v>1</v>
      </c>
      <c r="V83">
        <v>1</v>
      </c>
      <c r="W83" s="4">
        <v>2.46</v>
      </c>
      <c r="X83" t="s">
        <v>91</v>
      </c>
      <c r="Y83">
        <v>0.75</v>
      </c>
      <c r="AA83">
        <v>0</v>
      </c>
      <c r="BF83" s="4">
        <v>1149.3699999999999</v>
      </c>
      <c r="BG83" s="4"/>
      <c r="BH83" s="4">
        <v>8045.61</v>
      </c>
    </row>
    <row r="84" spans="6:60" hidden="1">
      <c r="F84" s="2" t="s">
        <v>179</v>
      </c>
      <c r="J84" t="s">
        <v>89</v>
      </c>
      <c r="K84" s="2" t="s">
        <v>162</v>
      </c>
      <c r="O84" s="3">
        <f t="shared" si="2"/>
        <v>6.0040000000000004</v>
      </c>
      <c r="P84" s="4">
        <v>2.57</v>
      </c>
      <c r="Q84">
        <f t="shared" si="3"/>
        <v>0.51400000000000001</v>
      </c>
      <c r="R84" s="4">
        <v>5.49</v>
      </c>
      <c r="S84">
        <v>1</v>
      </c>
      <c r="V84">
        <v>1</v>
      </c>
      <c r="W84" s="4">
        <v>5.49</v>
      </c>
      <c r="X84" t="s">
        <v>91</v>
      </c>
      <c r="Y84">
        <v>0.75</v>
      </c>
      <c r="AA84">
        <v>0</v>
      </c>
      <c r="BF84" s="4">
        <v>2205</v>
      </c>
      <c r="BG84" s="4"/>
      <c r="BH84" s="4">
        <v>15435</v>
      </c>
    </row>
    <row r="85" spans="6:60" hidden="1">
      <c r="F85" s="2" t="s">
        <v>180</v>
      </c>
      <c r="J85" t="s">
        <v>89</v>
      </c>
      <c r="K85" s="2" t="s">
        <v>181</v>
      </c>
      <c r="O85" s="3">
        <f t="shared" si="2"/>
        <v>3.548</v>
      </c>
      <c r="P85" s="4">
        <v>0.39</v>
      </c>
      <c r="Q85">
        <f t="shared" si="3"/>
        <v>7.8E-2</v>
      </c>
      <c r="R85" s="4">
        <v>3.47</v>
      </c>
      <c r="S85">
        <v>1</v>
      </c>
      <c r="V85">
        <v>1</v>
      </c>
      <c r="W85" s="4">
        <v>3.47</v>
      </c>
      <c r="X85" t="s">
        <v>91</v>
      </c>
      <c r="Y85">
        <v>0.75</v>
      </c>
      <c r="AA85">
        <v>0</v>
      </c>
      <c r="BF85" s="4">
        <v>2120</v>
      </c>
      <c r="BG85" s="4"/>
      <c r="BH85" s="4">
        <v>14900</v>
      </c>
    </row>
    <row r="86" spans="6:60" hidden="1">
      <c r="F86" s="2" t="s">
        <v>182</v>
      </c>
      <c r="J86" t="s">
        <v>89</v>
      </c>
      <c r="K86" s="2" t="s">
        <v>181</v>
      </c>
      <c r="O86" s="3">
        <f t="shared" si="2"/>
        <v>4.5659999999999998</v>
      </c>
      <c r="P86" s="4">
        <v>0.48</v>
      </c>
      <c r="Q86">
        <f t="shared" si="3"/>
        <v>9.6000000000000002E-2</v>
      </c>
      <c r="R86" s="4">
        <v>4.47</v>
      </c>
      <c r="S86">
        <v>1</v>
      </c>
      <c r="V86">
        <v>1</v>
      </c>
      <c r="W86" s="4">
        <v>4.47</v>
      </c>
      <c r="X86" t="s">
        <v>91</v>
      </c>
      <c r="Y86">
        <v>0.75</v>
      </c>
      <c r="AA86">
        <v>0</v>
      </c>
      <c r="BF86" s="4">
        <v>2836</v>
      </c>
      <c r="BG86" s="4"/>
      <c r="BH86" s="4">
        <v>19900</v>
      </c>
    </row>
    <row r="87" spans="6:60" hidden="1">
      <c r="F87" s="2" t="s">
        <v>183</v>
      </c>
      <c r="J87" t="s">
        <v>89</v>
      </c>
      <c r="K87" s="2" t="s">
        <v>184</v>
      </c>
      <c r="O87" s="3">
        <f t="shared" si="2"/>
        <v>16.221999999999998</v>
      </c>
      <c r="P87" s="4">
        <v>1.76</v>
      </c>
      <c r="Q87">
        <f t="shared" si="3"/>
        <v>0.35199999999999998</v>
      </c>
      <c r="R87" s="4">
        <v>15.87</v>
      </c>
      <c r="S87">
        <v>1</v>
      </c>
      <c r="V87">
        <v>1</v>
      </c>
      <c r="W87" s="4">
        <v>15.87</v>
      </c>
      <c r="X87" t="s">
        <v>91</v>
      </c>
      <c r="Y87">
        <v>0.75</v>
      </c>
      <c r="AA87">
        <v>0</v>
      </c>
      <c r="BF87" s="4">
        <v>8600</v>
      </c>
      <c r="BG87" s="4"/>
      <c r="BH87" s="4">
        <v>60200</v>
      </c>
    </row>
    <row r="88" spans="6:60" hidden="1">
      <c r="F88" s="2" t="s">
        <v>185</v>
      </c>
      <c r="J88" t="s">
        <v>89</v>
      </c>
      <c r="K88" s="2" t="s">
        <v>184</v>
      </c>
      <c r="O88" s="3">
        <f t="shared" si="2"/>
        <v>2.1179999999999999</v>
      </c>
      <c r="P88" s="4">
        <v>0.44</v>
      </c>
      <c r="Q88">
        <f t="shared" si="3"/>
        <v>8.7999999999999995E-2</v>
      </c>
      <c r="R88" s="4">
        <v>2.0299999999999998</v>
      </c>
      <c r="S88">
        <v>1</v>
      </c>
      <c r="V88">
        <v>1</v>
      </c>
      <c r="W88" s="4">
        <v>2.0299999999999998</v>
      </c>
      <c r="X88" t="s">
        <v>91</v>
      </c>
      <c r="Y88">
        <v>0.75</v>
      </c>
      <c r="AA88">
        <v>0</v>
      </c>
      <c r="BF88" s="4">
        <v>1200</v>
      </c>
      <c r="BG88" s="4"/>
      <c r="BH88" s="4">
        <v>9000</v>
      </c>
    </row>
    <row r="89" spans="6:60" hidden="1">
      <c r="F89" s="2" t="s">
        <v>186</v>
      </c>
      <c r="J89" t="s">
        <v>89</v>
      </c>
      <c r="K89" s="2" t="s">
        <v>184</v>
      </c>
      <c r="O89" s="3">
        <f t="shared" si="2"/>
        <v>4.1819999999999995</v>
      </c>
      <c r="P89" s="4">
        <v>0.41</v>
      </c>
      <c r="Q89">
        <f t="shared" si="3"/>
        <v>8.199999999999999E-2</v>
      </c>
      <c r="R89" s="4">
        <v>4.0999999999999996</v>
      </c>
      <c r="S89">
        <v>1</v>
      </c>
      <c r="V89">
        <v>1</v>
      </c>
      <c r="W89" s="4">
        <v>4.0999999999999996</v>
      </c>
      <c r="X89" t="s">
        <v>91</v>
      </c>
      <c r="Y89">
        <v>0.75</v>
      </c>
      <c r="AA89">
        <v>0</v>
      </c>
      <c r="BF89" s="4">
        <v>1</v>
      </c>
      <c r="BG89" s="4"/>
      <c r="BH89" s="4">
        <v>12000</v>
      </c>
    </row>
    <row r="90" spans="6:60" hidden="1">
      <c r="F90" s="2" t="s">
        <v>187</v>
      </c>
      <c r="J90" t="s">
        <v>89</v>
      </c>
      <c r="K90" s="2" t="s">
        <v>184</v>
      </c>
      <c r="O90" s="3">
        <f t="shared" si="2"/>
        <v>3.6199999999999997</v>
      </c>
      <c r="P90" s="4">
        <v>0.45</v>
      </c>
      <c r="Q90">
        <f t="shared" si="3"/>
        <v>0.09</v>
      </c>
      <c r="R90" s="4">
        <v>3.53</v>
      </c>
      <c r="S90">
        <v>1</v>
      </c>
      <c r="V90">
        <v>1</v>
      </c>
      <c r="W90" s="4">
        <v>3.53</v>
      </c>
      <c r="X90" t="s">
        <v>91</v>
      </c>
      <c r="Y90">
        <v>0.75</v>
      </c>
      <c r="AA90">
        <v>0</v>
      </c>
      <c r="BF90" s="4">
        <v>1436.05</v>
      </c>
      <c r="BG90" s="4"/>
      <c r="BH90" s="4">
        <v>10055</v>
      </c>
    </row>
    <row r="91" spans="6:60" hidden="1">
      <c r="F91" s="2" t="s">
        <v>188</v>
      </c>
      <c r="J91" t="s">
        <v>89</v>
      </c>
      <c r="K91" s="2" t="s">
        <v>184</v>
      </c>
      <c r="O91" s="3">
        <f t="shared" si="2"/>
        <v>2.282</v>
      </c>
      <c r="P91" s="4">
        <v>0.36</v>
      </c>
      <c r="Q91">
        <f t="shared" si="3"/>
        <v>7.1999999999999995E-2</v>
      </c>
      <c r="R91" s="4">
        <v>2.21</v>
      </c>
      <c r="S91">
        <v>1</v>
      </c>
      <c r="V91">
        <v>1</v>
      </c>
      <c r="W91" s="4">
        <v>2.21</v>
      </c>
      <c r="X91" t="s">
        <v>91</v>
      </c>
      <c r="Y91">
        <v>0.75</v>
      </c>
      <c r="AA91">
        <v>0</v>
      </c>
      <c r="BF91" s="4">
        <v>1002.49</v>
      </c>
      <c r="BG91" s="4"/>
      <c r="BH91" s="4">
        <v>7020</v>
      </c>
    </row>
    <row r="92" spans="6:60" hidden="1">
      <c r="F92" s="2" t="s">
        <v>189</v>
      </c>
      <c r="J92" t="s">
        <v>89</v>
      </c>
      <c r="K92" s="2" t="s">
        <v>184</v>
      </c>
      <c r="O92" s="3">
        <f t="shared" si="2"/>
        <v>3.988</v>
      </c>
      <c r="P92" s="4">
        <v>0.74</v>
      </c>
      <c r="Q92">
        <f t="shared" si="3"/>
        <v>0.14799999999999999</v>
      </c>
      <c r="R92" s="4">
        <v>3.84</v>
      </c>
      <c r="S92">
        <v>1</v>
      </c>
      <c r="V92">
        <v>1</v>
      </c>
      <c r="W92" s="4">
        <v>3.84</v>
      </c>
      <c r="X92" t="s">
        <v>91</v>
      </c>
      <c r="Y92">
        <v>0.75</v>
      </c>
      <c r="AA92">
        <v>0</v>
      </c>
      <c r="BF92" s="4">
        <v>3545</v>
      </c>
      <c r="BG92" s="4"/>
      <c r="BH92" s="4">
        <v>24800</v>
      </c>
    </row>
    <row r="93" spans="6:60" hidden="1">
      <c r="F93" s="2" t="s">
        <v>190</v>
      </c>
      <c r="J93" t="s">
        <v>89</v>
      </c>
      <c r="K93" s="2" t="s">
        <v>184</v>
      </c>
      <c r="O93" s="3">
        <f t="shared" si="2"/>
        <v>4.9400000000000004</v>
      </c>
      <c r="P93" s="4">
        <v>0.55000000000000004</v>
      </c>
      <c r="Q93">
        <f t="shared" si="3"/>
        <v>0.11000000000000001</v>
      </c>
      <c r="R93" s="4">
        <v>4.83</v>
      </c>
      <c r="S93">
        <v>1</v>
      </c>
      <c r="V93">
        <v>1</v>
      </c>
      <c r="W93" s="4">
        <v>4.83</v>
      </c>
      <c r="X93" t="s">
        <v>91</v>
      </c>
      <c r="Y93">
        <v>0.75</v>
      </c>
      <c r="AA93">
        <v>0</v>
      </c>
      <c r="BF93" s="4">
        <v>2550</v>
      </c>
      <c r="BG93" s="4"/>
      <c r="BH93" s="4">
        <v>17850</v>
      </c>
    </row>
    <row r="94" spans="6:60" hidden="1">
      <c r="F94" s="2" t="s">
        <v>191</v>
      </c>
      <c r="J94" t="s">
        <v>89</v>
      </c>
      <c r="K94" s="2" t="s">
        <v>184</v>
      </c>
      <c r="O94" s="3">
        <f t="shared" si="2"/>
        <v>5.968</v>
      </c>
      <c r="P94" s="4">
        <v>1.1399999999999999</v>
      </c>
      <c r="Q94">
        <f t="shared" si="3"/>
        <v>0.22799999999999998</v>
      </c>
      <c r="R94" s="4">
        <v>5.74</v>
      </c>
      <c r="S94">
        <v>1</v>
      </c>
      <c r="V94">
        <v>1</v>
      </c>
      <c r="W94" s="4">
        <v>5.74</v>
      </c>
      <c r="X94" t="s">
        <v>91</v>
      </c>
      <c r="Y94">
        <v>0.75</v>
      </c>
      <c r="AA94">
        <v>0</v>
      </c>
      <c r="BF94" s="4">
        <v>5534</v>
      </c>
      <c r="BG94" s="4"/>
      <c r="BH94" s="4">
        <v>38700</v>
      </c>
    </row>
    <row r="95" spans="6:60" hidden="1">
      <c r="F95" s="2" t="s">
        <v>192</v>
      </c>
      <c r="J95" t="s">
        <v>89</v>
      </c>
      <c r="K95" s="2" t="s">
        <v>184</v>
      </c>
      <c r="O95" s="3">
        <f t="shared" si="2"/>
        <v>0.67200000000000004</v>
      </c>
      <c r="P95" s="4">
        <v>0.01</v>
      </c>
      <c r="Q95">
        <f t="shared" si="3"/>
        <v>2E-3</v>
      </c>
      <c r="R95" s="4">
        <v>0.67</v>
      </c>
      <c r="S95">
        <v>1</v>
      </c>
      <c r="V95">
        <v>1</v>
      </c>
      <c r="W95" s="4">
        <v>0.67</v>
      </c>
      <c r="X95" t="s">
        <v>91</v>
      </c>
      <c r="Y95">
        <v>0.75</v>
      </c>
      <c r="AA95">
        <v>0</v>
      </c>
      <c r="BF95" s="4">
        <v>440</v>
      </c>
      <c r="BG95" s="4"/>
      <c r="BH95" s="4">
        <v>3080</v>
      </c>
    </row>
    <row r="96" spans="6:60" hidden="1">
      <c r="F96" s="2" t="s">
        <v>193</v>
      </c>
      <c r="J96" t="s">
        <v>89</v>
      </c>
      <c r="K96" s="2" t="s">
        <v>184</v>
      </c>
      <c r="O96" s="3">
        <f t="shared" si="2"/>
        <v>2.1639999999999997</v>
      </c>
      <c r="P96" s="4">
        <v>0.47</v>
      </c>
      <c r="Q96">
        <f t="shared" si="3"/>
        <v>9.4E-2</v>
      </c>
      <c r="R96" s="4">
        <v>2.0699999999999998</v>
      </c>
      <c r="S96">
        <v>1</v>
      </c>
      <c r="V96">
        <v>1</v>
      </c>
      <c r="W96" s="4">
        <v>2.0699999999999998</v>
      </c>
      <c r="X96" t="s">
        <v>91</v>
      </c>
      <c r="Y96">
        <v>0.75</v>
      </c>
      <c r="AA96">
        <v>0</v>
      </c>
      <c r="BF96" s="4">
        <v>675.25</v>
      </c>
      <c r="BG96" s="4"/>
      <c r="BH96" s="4">
        <v>4730</v>
      </c>
    </row>
    <row r="97" spans="6:60" hidden="1">
      <c r="F97" s="2" t="s">
        <v>194</v>
      </c>
      <c r="J97" t="s">
        <v>89</v>
      </c>
      <c r="K97" s="2" t="s">
        <v>184</v>
      </c>
      <c r="O97" s="3">
        <f t="shared" si="2"/>
        <v>2.1501999999999999</v>
      </c>
      <c r="P97" s="4">
        <v>0.30099999999999999</v>
      </c>
      <c r="Q97">
        <f t="shared" si="3"/>
        <v>6.0199999999999997E-2</v>
      </c>
      <c r="R97" s="4">
        <v>2.09</v>
      </c>
      <c r="S97">
        <v>1</v>
      </c>
      <c r="V97">
        <v>1</v>
      </c>
      <c r="W97" s="4">
        <v>2.09</v>
      </c>
      <c r="X97" t="s">
        <v>91</v>
      </c>
      <c r="Y97">
        <v>0.75</v>
      </c>
      <c r="AA97">
        <v>0</v>
      </c>
      <c r="BF97" s="4">
        <v>1337</v>
      </c>
      <c r="BG97" s="4"/>
      <c r="BH97" s="4">
        <v>9359</v>
      </c>
    </row>
    <row r="98" spans="6:60" hidden="1">
      <c r="F98" s="2" t="s">
        <v>195</v>
      </c>
      <c r="J98" t="s">
        <v>89</v>
      </c>
      <c r="K98" s="2" t="s">
        <v>184</v>
      </c>
      <c r="O98" s="3">
        <f t="shared" si="2"/>
        <v>1.0859999999999999</v>
      </c>
      <c r="P98" s="4">
        <v>1.33</v>
      </c>
      <c r="Q98">
        <f t="shared" si="3"/>
        <v>0.26600000000000001</v>
      </c>
      <c r="R98" s="4">
        <v>0.82</v>
      </c>
      <c r="S98">
        <v>1</v>
      </c>
      <c r="V98">
        <v>1</v>
      </c>
      <c r="W98" s="4">
        <v>0.82</v>
      </c>
      <c r="X98" t="s">
        <v>91</v>
      </c>
      <c r="Y98">
        <v>0.75</v>
      </c>
      <c r="AA98">
        <v>0</v>
      </c>
      <c r="BF98" s="4">
        <v>339.45</v>
      </c>
      <c r="BG98" s="4"/>
      <c r="BH98" s="4">
        <v>2377</v>
      </c>
    </row>
    <row r="99" spans="6:60" hidden="1">
      <c r="F99" s="2" t="s">
        <v>196</v>
      </c>
      <c r="J99" t="s">
        <v>89</v>
      </c>
      <c r="K99" s="2" t="s">
        <v>184</v>
      </c>
      <c r="O99" s="3">
        <f t="shared" si="2"/>
        <v>10.965999999999999</v>
      </c>
      <c r="P99" s="4">
        <v>7.23</v>
      </c>
      <c r="Q99">
        <f t="shared" si="3"/>
        <v>1.4460000000000002</v>
      </c>
      <c r="R99" s="4">
        <v>9.52</v>
      </c>
      <c r="S99">
        <v>1</v>
      </c>
      <c r="V99">
        <v>1</v>
      </c>
      <c r="W99" s="4">
        <v>9.52</v>
      </c>
      <c r="X99" t="s">
        <v>91</v>
      </c>
      <c r="Y99">
        <v>0.75</v>
      </c>
      <c r="AA99">
        <v>0</v>
      </c>
      <c r="BF99" s="4">
        <v>43070</v>
      </c>
      <c r="BG99" s="4"/>
      <c r="BH99" s="4">
        <v>301500</v>
      </c>
    </row>
    <row r="100" spans="6:60" hidden="1">
      <c r="F100" s="2" t="s">
        <v>197</v>
      </c>
      <c r="J100" t="s">
        <v>89</v>
      </c>
      <c r="K100" s="2" t="s">
        <v>184</v>
      </c>
      <c r="O100" s="3">
        <f t="shared" si="2"/>
        <v>11.71</v>
      </c>
      <c r="P100" s="4">
        <v>4.5</v>
      </c>
      <c r="Q100">
        <f t="shared" si="3"/>
        <v>0.9</v>
      </c>
      <c r="R100" s="4">
        <v>10.81</v>
      </c>
      <c r="S100">
        <v>1</v>
      </c>
      <c r="V100">
        <v>1</v>
      </c>
      <c r="W100" s="4">
        <v>10.81</v>
      </c>
      <c r="X100" t="s">
        <v>91</v>
      </c>
      <c r="Y100">
        <v>0.75</v>
      </c>
      <c r="AA100">
        <v>0</v>
      </c>
      <c r="BF100" s="4">
        <v>12775</v>
      </c>
      <c r="BG100" s="4"/>
      <c r="BH100" s="4">
        <v>89500</v>
      </c>
    </row>
    <row r="101" spans="6:60" hidden="1">
      <c r="F101" s="2" t="s">
        <v>198</v>
      </c>
      <c r="J101" t="s">
        <v>89</v>
      </c>
      <c r="K101" s="2" t="s">
        <v>184</v>
      </c>
      <c r="O101" s="3">
        <f t="shared" si="2"/>
        <v>2.1280000000000001</v>
      </c>
      <c r="P101" s="4">
        <v>0.34</v>
      </c>
      <c r="Q101">
        <f t="shared" si="3"/>
        <v>6.8000000000000005E-2</v>
      </c>
      <c r="R101" s="4">
        <v>2.06</v>
      </c>
      <c r="S101">
        <v>1</v>
      </c>
      <c r="V101">
        <v>1</v>
      </c>
      <c r="W101" s="4">
        <v>2.06</v>
      </c>
      <c r="X101" t="s">
        <v>91</v>
      </c>
      <c r="Y101">
        <v>0.75</v>
      </c>
      <c r="AA101">
        <v>0</v>
      </c>
      <c r="BF101" s="4">
        <v>558.45000000000005</v>
      </c>
      <c r="BG101" s="4"/>
      <c r="BH101" s="4">
        <v>3909.15</v>
      </c>
    </row>
    <row r="102" spans="6:60" hidden="1">
      <c r="F102" s="2" t="s">
        <v>199</v>
      </c>
      <c r="J102" t="s">
        <v>89</v>
      </c>
      <c r="K102" s="2" t="s">
        <v>184</v>
      </c>
      <c r="O102" s="3">
        <f t="shared" si="2"/>
        <v>0.91399999999999992</v>
      </c>
      <c r="P102" s="4">
        <v>0.37</v>
      </c>
      <c r="Q102">
        <f t="shared" si="3"/>
        <v>7.3999999999999996E-2</v>
      </c>
      <c r="R102" s="4">
        <v>0.84</v>
      </c>
      <c r="S102">
        <v>1</v>
      </c>
      <c r="V102">
        <v>1</v>
      </c>
      <c r="W102" s="4">
        <v>0.84</v>
      </c>
      <c r="X102" t="s">
        <v>91</v>
      </c>
      <c r="Y102">
        <v>0.75</v>
      </c>
      <c r="AA102">
        <v>0</v>
      </c>
      <c r="BF102" s="4">
        <v>1076.75</v>
      </c>
      <c r="BG102" s="4"/>
      <c r="BH102" s="4">
        <v>7537.25</v>
      </c>
    </row>
    <row r="103" spans="6:60" hidden="1">
      <c r="F103" s="2" t="s">
        <v>200</v>
      </c>
      <c r="J103" t="s">
        <v>89</v>
      </c>
      <c r="K103" s="2" t="s">
        <v>184</v>
      </c>
      <c r="O103" s="3">
        <f t="shared" si="2"/>
        <v>2.1639999999999997</v>
      </c>
      <c r="P103" s="4">
        <v>0.47</v>
      </c>
      <c r="Q103">
        <f t="shared" si="3"/>
        <v>9.4E-2</v>
      </c>
      <c r="R103" s="4">
        <v>2.0699999999999998</v>
      </c>
      <c r="S103">
        <v>1</v>
      </c>
      <c r="V103">
        <v>1</v>
      </c>
      <c r="W103" s="4">
        <v>2.0699999999999998</v>
      </c>
      <c r="X103" t="s">
        <v>91</v>
      </c>
      <c r="Y103">
        <v>0.75</v>
      </c>
      <c r="AA103">
        <v>0</v>
      </c>
      <c r="BF103" s="4">
        <v>675.25</v>
      </c>
      <c r="BG103" s="4"/>
      <c r="BH103" s="4">
        <v>4726.75</v>
      </c>
    </row>
    <row r="104" spans="6:60" hidden="1">
      <c r="F104" s="2" t="s">
        <v>201</v>
      </c>
      <c r="J104" t="s">
        <v>89</v>
      </c>
      <c r="K104" s="2" t="s">
        <v>184</v>
      </c>
      <c r="O104" s="3">
        <f t="shared" si="2"/>
        <v>2.1280000000000001</v>
      </c>
      <c r="P104" s="4">
        <v>0.34</v>
      </c>
      <c r="Q104">
        <f t="shared" si="3"/>
        <v>6.8000000000000005E-2</v>
      </c>
      <c r="R104" s="4">
        <v>2.06</v>
      </c>
      <c r="S104">
        <v>1</v>
      </c>
      <c r="V104">
        <v>1</v>
      </c>
      <c r="W104" s="4">
        <v>2.06</v>
      </c>
      <c r="X104" t="s">
        <v>91</v>
      </c>
      <c r="Y104">
        <v>0.75</v>
      </c>
      <c r="AA104">
        <v>0</v>
      </c>
      <c r="BF104" s="4">
        <v>1113.25</v>
      </c>
      <c r="BG104" s="4"/>
      <c r="BH104" s="4">
        <v>7793</v>
      </c>
    </row>
    <row r="105" spans="6:60" hidden="1">
      <c r="F105" s="2" t="s">
        <v>202</v>
      </c>
      <c r="J105" t="s">
        <v>89</v>
      </c>
      <c r="K105" s="2" t="s">
        <v>184</v>
      </c>
      <c r="O105" s="3">
        <f t="shared" si="2"/>
        <v>2.1639999999999997</v>
      </c>
      <c r="P105" s="4">
        <v>0.47</v>
      </c>
      <c r="Q105">
        <f t="shared" si="3"/>
        <v>9.4E-2</v>
      </c>
      <c r="R105" s="4">
        <v>2.0699999999999998</v>
      </c>
      <c r="S105">
        <v>1</v>
      </c>
      <c r="V105">
        <v>1</v>
      </c>
      <c r="W105" s="4">
        <v>2.0699999999999998</v>
      </c>
      <c r="X105" t="s">
        <v>91</v>
      </c>
      <c r="Y105">
        <v>0.75</v>
      </c>
      <c r="AA105">
        <v>0</v>
      </c>
      <c r="BF105" s="4">
        <v>1350.5</v>
      </c>
      <c r="BG105" s="4"/>
      <c r="BH105" s="4">
        <v>9454</v>
      </c>
    </row>
    <row r="106" spans="6:60" hidden="1">
      <c r="F106" s="2" t="s">
        <v>203</v>
      </c>
      <c r="J106" t="s">
        <v>89</v>
      </c>
      <c r="K106" s="2" t="s">
        <v>184</v>
      </c>
      <c r="O106" s="3">
        <f t="shared" si="2"/>
        <v>2.8174000000000001</v>
      </c>
      <c r="P106" s="4">
        <v>0.78700000000000003</v>
      </c>
      <c r="Q106">
        <f t="shared" si="3"/>
        <v>0.15740000000000001</v>
      </c>
      <c r="R106" s="4">
        <v>2.66</v>
      </c>
      <c r="S106">
        <v>1</v>
      </c>
      <c r="V106">
        <v>1</v>
      </c>
      <c r="W106" s="4">
        <v>2.66</v>
      </c>
      <c r="X106" t="s">
        <v>91</v>
      </c>
      <c r="Y106">
        <v>0.75</v>
      </c>
      <c r="AA106">
        <v>0</v>
      </c>
      <c r="BF106" s="4">
        <v>2025.75</v>
      </c>
      <c r="BG106" s="4"/>
      <c r="BH106" s="4">
        <v>14180</v>
      </c>
    </row>
    <row r="107" spans="6:60" hidden="1">
      <c r="F107" s="2" t="s">
        <v>204</v>
      </c>
      <c r="J107" t="s">
        <v>89</v>
      </c>
      <c r="K107" s="2" t="s">
        <v>184</v>
      </c>
      <c r="O107" s="3">
        <f t="shared" si="2"/>
        <v>3.1219999999999999</v>
      </c>
      <c r="P107" s="4">
        <v>0.21</v>
      </c>
      <c r="Q107">
        <f t="shared" si="3"/>
        <v>4.1999999999999996E-2</v>
      </c>
      <c r="R107" s="4">
        <v>3.08</v>
      </c>
      <c r="S107">
        <v>1</v>
      </c>
      <c r="V107">
        <v>1</v>
      </c>
      <c r="W107" s="4">
        <v>3.08</v>
      </c>
      <c r="X107" t="s">
        <v>91</v>
      </c>
      <c r="Y107">
        <v>0.75</v>
      </c>
      <c r="AA107">
        <v>0</v>
      </c>
      <c r="BF107" s="4">
        <v>5210</v>
      </c>
      <c r="BG107" s="4"/>
      <c r="BH107" s="4">
        <v>36470</v>
      </c>
    </row>
    <row r="108" spans="6:60" hidden="1">
      <c r="F108" s="2" t="s">
        <v>205</v>
      </c>
      <c r="J108" t="s">
        <v>89</v>
      </c>
      <c r="K108" s="2" t="s">
        <v>184</v>
      </c>
      <c r="O108" s="3">
        <f t="shared" si="2"/>
        <v>2.76</v>
      </c>
      <c r="P108" s="4">
        <v>0.95</v>
      </c>
      <c r="Q108">
        <f t="shared" si="3"/>
        <v>0.19</v>
      </c>
      <c r="R108" s="4">
        <v>2.57</v>
      </c>
      <c r="S108">
        <v>1</v>
      </c>
      <c r="V108">
        <v>1</v>
      </c>
      <c r="W108" s="4">
        <v>2.57</v>
      </c>
      <c r="X108" t="s">
        <v>91</v>
      </c>
      <c r="Y108">
        <v>0.75</v>
      </c>
      <c r="AA108">
        <v>0</v>
      </c>
      <c r="BF108" s="4">
        <v>2700</v>
      </c>
      <c r="BG108" s="4"/>
      <c r="BH108" s="4">
        <v>18900</v>
      </c>
    </row>
    <row r="109" spans="6:60" hidden="1">
      <c r="F109" s="2" t="s">
        <v>206</v>
      </c>
      <c r="J109" t="s">
        <v>89</v>
      </c>
      <c r="K109" s="2" t="s">
        <v>184</v>
      </c>
      <c r="O109" s="3">
        <f t="shared" si="2"/>
        <v>2.6419999999999999</v>
      </c>
      <c r="P109" s="4">
        <v>0.21</v>
      </c>
      <c r="Q109">
        <f t="shared" si="3"/>
        <v>4.1999999999999996E-2</v>
      </c>
      <c r="R109" s="4">
        <v>2.6</v>
      </c>
      <c r="S109">
        <v>1</v>
      </c>
      <c r="V109">
        <v>1</v>
      </c>
      <c r="W109" s="4">
        <v>2.6</v>
      </c>
      <c r="X109" t="s">
        <v>91</v>
      </c>
      <c r="Y109">
        <v>0.75</v>
      </c>
      <c r="AA109">
        <v>0</v>
      </c>
      <c r="BF109" s="4">
        <v>1700</v>
      </c>
      <c r="BG109" s="4"/>
      <c r="BH109" s="4">
        <v>11900</v>
      </c>
    </row>
    <row r="110" spans="6:60" hidden="1">
      <c r="F110" s="2" t="s">
        <v>207</v>
      </c>
      <c r="J110" t="s">
        <v>89</v>
      </c>
      <c r="K110" s="2" t="s">
        <v>184</v>
      </c>
      <c r="O110" s="3">
        <f t="shared" si="2"/>
        <v>2.1254</v>
      </c>
      <c r="P110" s="4">
        <v>0.17699999999999999</v>
      </c>
      <c r="Q110">
        <f t="shared" si="3"/>
        <v>3.5400000000000001E-2</v>
      </c>
      <c r="R110" s="4">
        <v>2.09</v>
      </c>
      <c r="S110">
        <v>1</v>
      </c>
      <c r="V110">
        <v>1</v>
      </c>
      <c r="W110" s="4">
        <v>2.09</v>
      </c>
      <c r="X110" t="s">
        <v>91</v>
      </c>
      <c r="Y110">
        <v>0.75</v>
      </c>
      <c r="AA110">
        <v>0</v>
      </c>
      <c r="BF110" s="4">
        <v>1022</v>
      </c>
      <c r="BG110" s="4"/>
      <c r="BH110" s="4">
        <v>7154</v>
      </c>
    </row>
    <row r="111" spans="6:60" hidden="1">
      <c r="F111" s="2" t="s">
        <v>208</v>
      </c>
      <c r="J111" t="s">
        <v>89</v>
      </c>
      <c r="K111" s="2" t="s">
        <v>184</v>
      </c>
      <c r="O111" s="3">
        <f t="shared" si="2"/>
        <v>0.70799999999999996</v>
      </c>
      <c r="P111" s="4">
        <v>0.39</v>
      </c>
      <c r="Q111">
        <f t="shared" si="3"/>
        <v>7.8E-2</v>
      </c>
      <c r="R111" s="4">
        <v>0.63</v>
      </c>
      <c r="S111">
        <v>1</v>
      </c>
      <c r="V111">
        <v>1</v>
      </c>
      <c r="W111" s="4">
        <v>0.63</v>
      </c>
      <c r="X111" t="s">
        <v>91</v>
      </c>
      <c r="Y111">
        <v>0.75</v>
      </c>
      <c r="AA111">
        <v>0</v>
      </c>
      <c r="BF111" s="4">
        <v>1076.75</v>
      </c>
      <c r="BG111" s="4"/>
      <c r="BH111" s="4">
        <v>7540</v>
      </c>
    </row>
    <row r="112" spans="6:60" hidden="1">
      <c r="F112" s="2" t="s">
        <v>209</v>
      </c>
      <c r="J112" t="s">
        <v>89</v>
      </c>
      <c r="K112" s="2" t="s">
        <v>184</v>
      </c>
      <c r="O112" s="3">
        <f t="shared" si="2"/>
        <v>0.90200000000000002</v>
      </c>
      <c r="P112" s="4">
        <v>0.16</v>
      </c>
      <c r="Q112">
        <f t="shared" si="3"/>
        <v>3.2000000000000001E-2</v>
      </c>
      <c r="R112" s="4">
        <v>0.87</v>
      </c>
      <c r="S112">
        <v>1</v>
      </c>
      <c r="V112">
        <v>1</v>
      </c>
      <c r="W112" s="4">
        <v>0.87</v>
      </c>
      <c r="X112" t="s">
        <v>91</v>
      </c>
      <c r="Y112">
        <v>0.75</v>
      </c>
      <c r="AA112">
        <v>0</v>
      </c>
      <c r="BF112" s="4">
        <v>720</v>
      </c>
      <c r="BG112" s="4"/>
      <c r="BH112" s="4">
        <v>5040</v>
      </c>
    </row>
    <row r="113" spans="6:60" hidden="1">
      <c r="F113" s="2" t="s">
        <v>210</v>
      </c>
      <c r="J113" t="s">
        <v>89</v>
      </c>
      <c r="K113" s="2" t="s">
        <v>184</v>
      </c>
      <c r="O113" s="3">
        <f t="shared" si="2"/>
        <v>2.3763999999999998</v>
      </c>
      <c r="P113" s="4">
        <v>0.73199999999999998</v>
      </c>
      <c r="Q113">
        <f t="shared" si="3"/>
        <v>0.1464</v>
      </c>
      <c r="R113" s="4">
        <v>2.23</v>
      </c>
      <c r="S113">
        <v>1</v>
      </c>
      <c r="V113">
        <v>1</v>
      </c>
      <c r="W113" s="4">
        <v>2.23</v>
      </c>
      <c r="X113" t="s">
        <v>91</v>
      </c>
      <c r="Y113">
        <v>0.75</v>
      </c>
      <c r="AA113">
        <v>0</v>
      </c>
      <c r="BF113" s="4">
        <v>1733.75</v>
      </c>
      <c r="BG113" s="4"/>
      <c r="BH113" s="4">
        <v>12140</v>
      </c>
    </row>
    <row r="114" spans="6:60" hidden="1">
      <c r="F114" s="2" t="s">
        <v>211</v>
      </c>
      <c r="J114" t="s">
        <v>89</v>
      </c>
      <c r="K114" s="2" t="s">
        <v>184</v>
      </c>
      <c r="O114" s="3">
        <f t="shared" si="2"/>
        <v>2.2729999999999997</v>
      </c>
      <c r="P114" s="4">
        <v>0.71499999999999997</v>
      </c>
      <c r="Q114">
        <f t="shared" si="3"/>
        <v>0.14299999999999999</v>
      </c>
      <c r="R114" s="4">
        <v>2.13</v>
      </c>
      <c r="S114">
        <v>1</v>
      </c>
      <c r="V114">
        <v>1</v>
      </c>
      <c r="W114" s="4">
        <v>2.13</v>
      </c>
      <c r="X114" t="s">
        <v>91</v>
      </c>
      <c r="Y114">
        <v>0.75</v>
      </c>
      <c r="AA114">
        <v>0</v>
      </c>
      <c r="BF114" s="4">
        <v>1788.5</v>
      </c>
      <c r="BG114" s="4"/>
      <c r="BH114" s="4">
        <v>12520</v>
      </c>
    </row>
    <row r="115" spans="6:60" hidden="1">
      <c r="F115" s="2" t="s">
        <v>212</v>
      </c>
      <c r="J115" t="s">
        <v>89</v>
      </c>
      <c r="K115" s="2" t="s">
        <v>184</v>
      </c>
      <c r="O115" s="3">
        <f t="shared" si="2"/>
        <v>2.8934000000000002</v>
      </c>
      <c r="P115" s="4">
        <v>0.76700000000000002</v>
      </c>
      <c r="Q115">
        <f t="shared" si="3"/>
        <v>0.15340000000000001</v>
      </c>
      <c r="R115" s="4">
        <v>2.74</v>
      </c>
      <c r="S115">
        <v>1</v>
      </c>
      <c r="V115">
        <v>1</v>
      </c>
      <c r="W115" s="4">
        <v>2.74</v>
      </c>
      <c r="X115" t="s">
        <v>91</v>
      </c>
      <c r="Y115">
        <v>0.75</v>
      </c>
      <c r="AA115">
        <v>0</v>
      </c>
      <c r="BF115" s="4">
        <v>1916.25</v>
      </c>
      <c r="BG115" s="4"/>
      <c r="BH115" s="4">
        <v>13420</v>
      </c>
    </row>
    <row r="116" spans="6:60" hidden="1">
      <c r="F116" s="2" t="s">
        <v>213</v>
      </c>
      <c r="J116" t="s">
        <v>89</v>
      </c>
      <c r="K116" s="2" t="s">
        <v>214</v>
      </c>
      <c r="O116" s="3">
        <f t="shared" si="2"/>
        <v>9.23</v>
      </c>
      <c r="P116" s="4">
        <v>0.25</v>
      </c>
      <c r="Q116">
        <f t="shared" si="3"/>
        <v>0.05</v>
      </c>
      <c r="R116" s="4">
        <v>9.18</v>
      </c>
      <c r="S116">
        <v>1</v>
      </c>
      <c r="V116">
        <v>1</v>
      </c>
      <c r="W116" s="4">
        <v>9.18</v>
      </c>
      <c r="X116" t="s">
        <v>91</v>
      </c>
      <c r="Y116">
        <v>0.75</v>
      </c>
      <c r="AA116">
        <v>0</v>
      </c>
      <c r="BF116" s="4">
        <v>7525</v>
      </c>
      <c r="BG116" s="4"/>
      <c r="BH116" s="4">
        <v>52675</v>
      </c>
    </row>
    <row r="117" spans="6:60" hidden="1">
      <c r="F117" s="2" t="s">
        <v>215</v>
      </c>
      <c r="J117" t="s">
        <v>89</v>
      </c>
      <c r="K117" s="2" t="s">
        <v>214</v>
      </c>
      <c r="O117" s="3">
        <f t="shared" si="2"/>
        <v>1.3580000000000001</v>
      </c>
      <c r="P117" s="4">
        <v>0.04</v>
      </c>
      <c r="Q117">
        <f t="shared" si="3"/>
        <v>8.0000000000000002E-3</v>
      </c>
      <c r="R117" s="4">
        <v>1.35</v>
      </c>
      <c r="S117">
        <v>1</v>
      </c>
      <c r="V117">
        <v>1</v>
      </c>
      <c r="W117" s="4">
        <v>1.35</v>
      </c>
      <c r="X117" t="s">
        <v>91</v>
      </c>
      <c r="Y117">
        <v>0.75</v>
      </c>
      <c r="AA117">
        <v>0</v>
      </c>
      <c r="BF117" s="4">
        <v>750</v>
      </c>
      <c r="BG117" s="4"/>
      <c r="BH117" s="4">
        <v>5250</v>
      </c>
    </row>
    <row r="118" spans="6:60" hidden="1">
      <c r="F118" s="2" t="s">
        <v>216</v>
      </c>
      <c r="J118" t="s">
        <v>89</v>
      </c>
      <c r="K118" s="2" t="s">
        <v>214</v>
      </c>
      <c r="O118" s="3">
        <f t="shared" si="2"/>
        <v>3.09</v>
      </c>
      <c r="P118" s="4">
        <v>0.3</v>
      </c>
      <c r="Q118">
        <f t="shared" si="3"/>
        <v>0.06</v>
      </c>
      <c r="R118" s="4">
        <v>3.03</v>
      </c>
      <c r="S118">
        <v>1</v>
      </c>
      <c r="V118">
        <v>1</v>
      </c>
      <c r="W118" s="4">
        <v>3.03</v>
      </c>
      <c r="X118" t="s">
        <v>91</v>
      </c>
      <c r="Y118">
        <v>0.75</v>
      </c>
      <c r="AA118">
        <v>0</v>
      </c>
      <c r="BF118" s="4">
        <v>1504</v>
      </c>
      <c r="BG118" s="4"/>
      <c r="BH118" s="4">
        <v>10528</v>
      </c>
    </row>
    <row r="119" spans="6:60" hidden="1">
      <c r="F119" s="2" t="s">
        <v>217</v>
      </c>
      <c r="J119" t="s">
        <v>89</v>
      </c>
      <c r="K119" s="2" t="s">
        <v>214</v>
      </c>
      <c r="O119" s="3">
        <f t="shared" si="2"/>
        <v>0.58400000000000007</v>
      </c>
      <c r="P119" s="4">
        <v>0.27</v>
      </c>
      <c r="Q119">
        <f t="shared" si="3"/>
        <v>5.4000000000000006E-2</v>
      </c>
      <c r="R119" s="4">
        <v>0.53</v>
      </c>
      <c r="S119">
        <v>1</v>
      </c>
      <c r="V119">
        <v>1</v>
      </c>
      <c r="W119" s="4">
        <v>0.53</v>
      </c>
      <c r="X119" t="s">
        <v>91</v>
      </c>
      <c r="Y119">
        <v>0.75</v>
      </c>
      <c r="AA119">
        <v>0</v>
      </c>
      <c r="BF119" s="4">
        <v>700</v>
      </c>
      <c r="BG119" s="4"/>
      <c r="BH119" s="4">
        <v>4900</v>
      </c>
    </row>
    <row r="120" spans="6:60" hidden="1">
      <c r="F120" s="2" t="s">
        <v>218</v>
      </c>
      <c r="J120" t="s">
        <v>89</v>
      </c>
      <c r="K120" s="2" t="s">
        <v>214</v>
      </c>
      <c r="O120" s="3">
        <f t="shared" si="2"/>
        <v>3.4899999999999998</v>
      </c>
      <c r="P120" s="4">
        <v>0.45</v>
      </c>
      <c r="Q120">
        <f t="shared" si="3"/>
        <v>0.09</v>
      </c>
      <c r="R120" s="4">
        <v>3.4</v>
      </c>
      <c r="S120">
        <v>1</v>
      </c>
      <c r="V120">
        <v>1</v>
      </c>
      <c r="W120" s="4">
        <v>3.4</v>
      </c>
      <c r="X120" t="s">
        <v>91</v>
      </c>
      <c r="Y120">
        <v>0.75</v>
      </c>
      <c r="AA120">
        <v>0</v>
      </c>
      <c r="BF120" s="4">
        <v>2268</v>
      </c>
      <c r="BG120" s="4"/>
      <c r="BH120" s="4">
        <v>15880</v>
      </c>
    </row>
    <row r="121" spans="6:60" hidden="1">
      <c r="F121" s="2" t="s">
        <v>219</v>
      </c>
      <c r="J121" t="s">
        <v>89</v>
      </c>
      <c r="K121" s="2" t="s">
        <v>214</v>
      </c>
      <c r="O121" s="3">
        <f t="shared" si="2"/>
        <v>10.122</v>
      </c>
      <c r="P121" s="4">
        <v>0.56000000000000005</v>
      </c>
      <c r="Q121">
        <f t="shared" si="3"/>
        <v>0.11200000000000002</v>
      </c>
      <c r="R121" s="4">
        <v>10.01</v>
      </c>
      <c r="S121">
        <v>1</v>
      </c>
      <c r="V121">
        <v>1</v>
      </c>
      <c r="W121" s="4">
        <v>10.01</v>
      </c>
      <c r="X121" t="s">
        <v>91</v>
      </c>
      <c r="Y121">
        <v>0.75</v>
      </c>
      <c r="AA121">
        <v>0</v>
      </c>
      <c r="BF121" s="4">
        <v>6400</v>
      </c>
      <c r="BG121" s="4"/>
      <c r="BH121" s="4">
        <v>44800</v>
      </c>
    </row>
    <row r="122" spans="6:60" hidden="1">
      <c r="F122" s="2" t="s">
        <v>220</v>
      </c>
      <c r="J122" t="s">
        <v>89</v>
      </c>
      <c r="K122" s="2" t="s">
        <v>214</v>
      </c>
      <c r="O122" s="3">
        <f t="shared" si="2"/>
        <v>5.7319999999999993</v>
      </c>
      <c r="P122" s="4">
        <v>0.46</v>
      </c>
      <c r="Q122">
        <f t="shared" si="3"/>
        <v>9.1999999999999998E-2</v>
      </c>
      <c r="R122" s="4">
        <v>5.64</v>
      </c>
      <c r="S122">
        <v>1</v>
      </c>
      <c r="V122">
        <v>1</v>
      </c>
      <c r="W122" s="4">
        <v>5.64</v>
      </c>
      <c r="X122" t="s">
        <v>91</v>
      </c>
      <c r="Y122">
        <v>0.75</v>
      </c>
      <c r="AA122">
        <v>0</v>
      </c>
      <c r="BF122" s="4">
        <v>3131</v>
      </c>
      <c r="BG122" s="4"/>
      <c r="BH122" s="4">
        <v>21900</v>
      </c>
    </row>
    <row r="123" spans="6:60" hidden="1">
      <c r="F123" s="2" t="s">
        <v>221</v>
      </c>
      <c r="J123" t="s">
        <v>89</v>
      </c>
      <c r="K123" s="2" t="s">
        <v>214</v>
      </c>
      <c r="O123" s="3">
        <f t="shared" si="2"/>
        <v>2.8140000000000001</v>
      </c>
      <c r="P123" s="4">
        <v>0.47</v>
      </c>
      <c r="Q123">
        <f t="shared" si="3"/>
        <v>9.4E-2</v>
      </c>
      <c r="R123" s="4">
        <v>2.72</v>
      </c>
      <c r="S123">
        <v>1</v>
      </c>
      <c r="V123">
        <v>1</v>
      </c>
      <c r="W123" s="4">
        <v>2.72</v>
      </c>
      <c r="X123" t="s">
        <v>91</v>
      </c>
      <c r="Y123">
        <v>0.75</v>
      </c>
      <c r="AA123">
        <v>0</v>
      </c>
      <c r="BF123" s="4">
        <v>1392.14</v>
      </c>
      <c r="BG123" s="4"/>
      <c r="BH123" s="4">
        <v>9745</v>
      </c>
    </row>
    <row r="124" spans="6:60" hidden="1">
      <c r="F124" s="2" t="s">
        <v>222</v>
      </c>
      <c r="J124" t="s">
        <v>89</v>
      </c>
      <c r="K124" s="2" t="s">
        <v>214</v>
      </c>
      <c r="O124" s="3">
        <f t="shared" si="2"/>
        <v>4.3499999999999996</v>
      </c>
      <c r="P124" s="4">
        <v>0.7</v>
      </c>
      <c r="Q124">
        <f t="shared" si="3"/>
        <v>0.13999999999999999</v>
      </c>
      <c r="R124" s="4">
        <v>4.21</v>
      </c>
      <c r="S124">
        <v>1</v>
      </c>
      <c r="V124">
        <v>1</v>
      </c>
      <c r="W124" s="4">
        <v>4.21</v>
      </c>
      <c r="X124" t="s">
        <v>91</v>
      </c>
      <c r="Y124">
        <v>0.75</v>
      </c>
      <c r="AA124">
        <v>0</v>
      </c>
      <c r="BF124" s="4">
        <v>2068.59</v>
      </c>
      <c r="BG124" s="4"/>
      <c r="BH124" s="4">
        <v>14480</v>
      </c>
    </row>
    <row r="125" spans="6:60" hidden="1">
      <c r="F125" s="2" t="s">
        <v>223</v>
      </c>
      <c r="J125" t="s">
        <v>89</v>
      </c>
      <c r="K125" s="2" t="s">
        <v>214</v>
      </c>
      <c r="O125" s="3">
        <f t="shared" si="2"/>
        <v>2.3439999999999999</v>
      </c>
      <c r="P125" s="4">
        <v>0.42</v>
      </c>
      <c r="Q125">
        <f t="shared" si="3"/>
        <v>8.3999999999999991E-2</v>
      </c>
      <c r="R125" s="4">
        <v>2.2599999999999998</v>
      </c>
      <c r="S125">
        <v>1</v>
      </c>
      <c r="V125">
        <v>1</v>
      </c>
      <c r="W125" s="4">
        <v>2.2599999999999998</v>
      </c>
      <c r="X125" t="s">
        <v>91</v>
      </c>
      <c r="Y125">
        <v>0.75</v>
      </c>
      <c r="AA125">
        <v>0</v>
      </c>
      <c r="BF125" s="4">
        <v>1043.8599999999999</v>
      </c>
      <c r="BG125" s="4"/>
      <c r="BH125" s="4">
        <v>7310</v>
      </c>
    </row>
    <row r="126" spans="6:60" hidden="1">
      <c r="F126" s="2" t="s">
        <v>224</v>
      </c>
      <c r="J126" t="s">
        <v>89</v>
      </c>
      <c r="K126" s="2" t="s">
        <v>214</v>
      </c>
      <c r="O126" s="3">
        <f t="shared" si="2"/>
        <v>2.6079999999999997</v>
      </c>
      <c r="P126" s="4">
        <v>0.39</v>
      </c>
      <c r="Q126">
        <f t="shared" si="3"/>
        <v>7.8E-2</v>
      </c>
      <c r="R126" s="4">
        <v>2.5299999999999998</v>
      </c>
      <c r="S126">
        <v>1</v>
      </c>
      <c r="V126">
        <v>1</v>
      </c>
      <c r="W126" s="4">
        <v>2.5299999999999998</v>
      </c>
      <c r="X126" t="s">
        <v>91</v>
      </c>
      <c r="Y126">
        <v>0.75</v>
      </c>
      <c r="AA126">
        <v>0</v>
      </c>
      <c r="BF126" s="4">
        <v>1078.5</v>
      </c>
      <c r="BG126" s="4"/>
      <c r="BH126" s="4">
        <v>7550</v>
      </c>
    </row>
    <row r="127" spans="6:60" hidden="1">
      <c r="F127" s="2" t="s">
        <v>225</v>
      </c>
      <c r="J127" t="s">
        <v>89</v>
      </c>
      <c r="K127" s="2" t="s">
        <v>214</v>
      </c>
      <c r="O127" s="3">
        <f t="shared" si="2"/>
        <v>3.0960000000000001</v>
      </c>
      <c r="P127" s="4">
        <v>0.53</v>
      </c>
      <c r="Q127">
        <f t="shared" si="3"/>
        <v>0.10600000000000001</v>
      </c>
      <c r="R127" s="4">
        <v>2.99</v>
      </c>
      <c r="S127">
        <v>1</v>
      </c>
      <c r="V127">
        <v>1</v>
      </c>
      <c r="W127" s="4">
        <v>2.99</v>
      </c>
      <c r="X127" t="s">
        <v>91</v>
      </c>
      <c r="Y127">
        <v>0.75</v>
      </c>
      <c r="AA127">
        <v>0</v>
      </c>
      <c r="BF127" s="4">
        <v>1524.77</v>
      </c>
      <c r="BG127" s="4"/>
      <c r="BH127" s="4">
        <v>10675</v>
      </c>
    </row>
    <row r="128" spans="6:60" hidden="1">
      <c r="F128" s="2" t="s">
        <v>226</v>
      </c>
      <c r="J128" t="s">
        <v>89</v>
      </c>
      <c r="K128" s="2" t="s">
        <v>214</v>
      </c>
      <c r="O128" s="3">
        <f t="shared" si="2"/>
        <v>4.9620000000000006</v>
      </c>
      <c r="P128" s="4">
        <v>0.71</v>
      </c>
      <c r="Q128">
        <f t="shared" si="3"/>
        <v>0.14199999999999999</v>
      </c>
      <c r="R128" s="4">
        <v>4.82</v>
      </c>
      <c r="S128">
        <v>1</v>
      </c>
      <c r="V128">
        <v>1</v>
      </c>
      <c r="W128" s="4">
        <v>4.82</v>
      </c>
      <c r="X128" t="s">
        <v>91</v>
      </c>
      <c r="Y128">
        <v>0.75</v>
      </c>
      <c r="AA128">
        <v>0</v>
      </c>
      <c r="BF128" s="4">
        <v>2560.3000000000002</v>
      </c>
      <c r="BG128" s="4"/>
      <c r="BH128" s="4">
        <v>17922.07</v>
      </c>
    </row>
    <row r="129" spans="6:60" hidden="1">
      <c r="F129" s="2" t="s">
        <v>227</v>
      </c>
      <c r="J129" t="s">
        <v>89</v>
      </c>
      <c r="K129" s="2" t="s">
        <v>214</v>
      </c>
      <c r="O129" s="3">
        <f t="shared" si="2"/>
        <v>3.222</v>
      </c>
      <c r="P129" s="4">
        <v>0.21</v>
      </c>
      <c r="Q129">
        <f t="shared" si="3"/>
        <v>4.1999999999999996E-2</v>
      </c>
      <c r="R129" s="4">
        <v>3.18</v>
      </c>
      <c r="S129">
        <v>1</v>
      </c>
      <c r="V129">
        <v>1</v>
      </c>
      <c r="W129" s="4">
        <v>3.18</v>
      </c>
      <c r="X129" t="s">
        <v>91</v>
      </c>
      <c r="Y129">
        <v>0.75</v>
      </c>
      <c r="AA129">
        <v>0</v>
      </c>
      <c r="BF129" s="4">
        <v>2230</v>
      </c>
      <c r="BG129" s="4"/>
      <c r="BH129" s="4">
        <v>15615</v>
      </c>
    </row>
    <row r="130" spans="6:60" hidden="1">
      <c r="F130" s="2" t="s">
        <v>228</v>
      </c>
      <c r="J130" t="s">
        <v>89</v>
      </c>
      <c r="K130" s="2" t="s">
        <v>214</v>
      </c>
      <c r="O130" s="3">
        <f t="shared" si="2"/>
        <v>1.4330000000000001</v>
      </c>
      <c r="P130" s="4">
        <v>0.315</v>
      </c>
      <c r="Q130">
        <f t="shared" si="3"/>
        <v>6.3E-2</v>
      </c>
      <c r="R130" s="4">
        <v>1.37</v>
      </c>
      <c r="S130">
        <v>1</v>
      </c>
      <c r="V130">
        <v>1</v>
      </c>
      <c r="W130" s="4">
        <v>1.37</v>
      </c>
      <c r="X130" t="s">
        <v>91</v>
      </c>
      <c r="Y130">
        <v>0.75</v>
      </c>
      <c r="AA130">
        <v>0</v>
      </c>
      <c r="BF130" s="4">
        <v>780</v>
      </c>
      <c r="BG130" s="4"/>
      <c r="BH130" s="4">
        <v>5460</v>
      </c>
    </row>
    <row r="131" spans="6:60" hidden="1">
      <c r="F131" s="2" t="s">
        <v>229</v>
      </c>
      <c r="J131" t="s">
        <v>89</v>
      </c>
      <c r="K131" s="2" t="s">
        <v>214</v>
      </c>
      <c r="O131" s="3">
        <f t="shared" ref="O131:O194" si="4">Q131+R131</f>
        <v>5.7319999999999993</v>
      </c>
      <c r="P131" s="4">
        <v>0.46</v>
      </c>
      <c r="Q131">
        <f t="shared" ref="Q131:Q194" si="5">P131/5</f>
        <v>9.1999999999999998E-2</v>
      </c>
      <c r="R131" s="4">
        <v>5.64</v>
      </c>
      <c r="S131">
        <v>1</v>
      </c>
      <c r="V131">
        <v>1</v>
      </c>
      <c r="W131" s="4">
        <v>5.64</v>
      </c>
      <c r="X131" t="s">
        <v>91</v>
      </c>
      <c r="Y131">
        <v>0.75</v>
      </c>
      <c r="AA131">
        <v>0</v>
      </c>
      <c r="BF131" s="4">
        <v>3134</v>
      </c>
      <c r="BG131" s="4"/>
      <c r="BH131" s="4">
        <v>17000</v>
      </c>
    </row>
    <row r="132" spans="6:60" hidden="1">
      <c r="F132" s="2" t="s">
        <v>230</v>
      </c>
      <c r="J132" t="s">
        <v>89</v>
      </c>
      <c r="K132" s="2" t="s">
        <v>214</v>
      </c>
      <c r="O132" s="3">
        <f t="shared" si="4"/>
        <v>2.6974</v>
      </c>
      <c r="P132" s="4">
        <v>0.23699999999999999</v>
      </c>
      <c r="Q132">
        <f t="shared" si="5"/>
        <v>4.7399999999999998E-2</v>
      </c>
      <c r="R132" s="4">
        <v>2.65</v>
      </c>
      <c r="S132">
        <v>1</v>
      </c>
      <c r="V132">
        <v>1</v>
      </c>
      <c r="W132" s="4">
        <v>2.65</v>
      </c>
      <c r="X132" t="s">
        <v>91</v>
      </c>
      <c r="Y132">
        <v>0.75</v>
      </c>
      <c r="AA132">
        <v>0</v>
      </c>
      <c r="BF132" s="4">
        <v>1</v>
      </c>
      <c r="BG132" s="4"/>
      <c r="BH132" s="4">
        <v>6900</v>
      </c>
    </row>
    <row r="133" spans="6:60" hidden="1">
      <c r="F133" s="2" t="s">
        <v>231</v>
      </c>
      <c r="J133" t="s">
        <v>89</v>
      </c>
      <c r="K133" s="2" t="s">
        <v>214</v>
      </c>
      <c r="O133" s="3">
        <f t="shared" si="4"/>
        <v>3.2101999999999999</v>
      </c>
      <c r="P133" s="4">
        <v>0.151</v>
      </c>
      <c r="Q133">
        <f t="shared" si="5"/>
        <v>3.0199999999999998E-2</v>
      </c>
      <c r="R133" s="4">
        <v>3.18</v>
      </c>
      <c r="S133">
        <v>1</v>
      </c>
      <c r="V133">
        <v>1</v>
      </c>
      <c r="W133" s="4">
        <v>3.18</v>
      </c>
      <c r="X133" t="s">
        <v>91</v>
      </c>
      <c r="Y133">
        <v>0.75</v>
      </c>
      <c r="AA133">
        <v>0</v>
      </c>
      <c r="BF133" s="4">
        <v>1404</v>
      </c>
      <c r="BG133" s="4"/>
      <c r="BH133" s="4">
        <v>9850</v>
      </c>
    </row>
    <row r="134" spans="6:60" hidden="1">
      <c r="F134" s="2" t="s">
        <v>232</v>
      </c>
      <c r="J134" t="s">
        <v>89</v>
      </c>
      <c r="K134" s="2" t="s">
        <v>214</v>
      </c>
      <c r="O134" s="3">
        <f t="shared" si="4"/>
        <v>3.1480000000000001</v>
      </c>
      <c r="P134" s="4">
        <v>0.24</v>
      </c>
      <c r="Q134">
        <f t="shared" si="5"/>
        <v>4.8000000000000001E-2</v>
      </c>
      <c r="R134" s="4">
        <v>3.1</v>
      </c>
      <c r="S134">
        <v>1</v>
      </c>
      <c r="V134">
        <v>1</v>
      </c>
      <c r="W134" s="4">
        <v>3.1</v>
      </c>
      <c r="X134" t="s">
        <v>91</v>
      </c>
      <c r="Y134">
        <v>0.75</v>
      </c>
      <c r="AA134">
        <v>0</v>
      </c>
      <c r="BF134" s="4">
        <v>1179.4100000000001</v>
      </c>
      <c r="BG134" s="4"/>
      <c r="BH134" s="4">
        <v>8255</v>
      </c>
    </row>
    <row r="135" spans="6:60" hidden="1">
      <c r="F135" s="2" t="s">
        <v>233</v>
      </c>
      <c r="J135" t="s">
        <v>89</v>
      </c>
      <c r="K135" s="2" t="s">
        <v>234</v>
      </c>
      <c r="O135" s="3">
        <f t="shared" si="4"/>
        <v>13.186</v>
      </c>
      <c r="P135" s="4">
        <v>4.28</v>
      </c>
      <c r="Q135">
        <f t="shared" si="5"/>
        <v>0.85600000000000009</v>
      </c>
      <c r="R135" s="4">
        <v>12.33</v>
      </c>
      <c r="S135">
        <v>1</v>
      </c>
      <c r="V135">
        <v>1</v>
      </c>
      <c r="W135" s="4">
        <v>12.33</v>
      </c>
      <c r="X135" t="s">
        <v>91</v>
      </c>
      <c r="Y135">
        <v>0.75</v>
      </c>
      <c r="AA135">
        <v>0</v>
      </c>
      <c r="BF135" s="4">
        <v>10547.8</v>
      </c>
      <c r="BG135" s="4"/>
      <c r="BH135" s="4">
        <v>73834.570000000007</v>
      </c>
    </row>
    <row r="136" spans="6:60" hidden="1">
      <c r="F136" s="2" t="s">
        <v>235</v>
      </c>
      <c r="J136" t="s">
        <v>89</v>
      </c>
      <c r="K136" s="2" t="s">
        <v>234</v>
      </c>
      <c r="O136" s="3">
        <f t="shared" si="4"/>
        <v>12.17</v>
      </c>
      <c r="P136" s="4">
        <v>3.15</v>
      </c>
      <c r="Q136">
        <f t="shared" si="5"/>
        <v>0.63</v>
      </c>
      <c r="R136" s="4">
        <v>11.54</v>
      </c>
      <c r="S136">
        <v>1</v>
      </c>
      <c r="V136">
        <v>1</v>
      </c>
      <c r="W136" s="4">
        <v>11.54</v>
      </c>
      <c r="X136" t="s">
        <v>91</v>
      </c>
      <c r="Y136">
        <v>0.75</v>
      </c>
      <c r="AA136">
        <v>0</v>
      </c>
      <c r="BF136" s="4">
        <v>6050.33</v>
      </c>
      <c r="BG136" s="4"/>
      <c r="BH136" s="4">
        <v>42352.29</v>
      </c>
    </row>
    <row r="137" spans="6:60" hidden="1">
      <c r="F137" s="2" t="s">
        <v>236</v>
      </c>
      <c r="J137" t="s">
        <v>89</v>
      </c>
      <c r="K137" s="2" t="s">
        <v>234</v>
      </c>
      <c r="O137" s="3">
        <f t="shared" si="4"/>
        <v>2.8800000000000003</v>
      </c>
      <c r="P137" s="4">
        <v>0.9</v>
      </c>
      <c r="Q137">
        <f t="shared" si="5"/>
        <v>0.18</v>
      </c>
      <c r="R137" s="4">
        <v>2.7</v>
      </c>
      <c r="S137">
        <v>1</v>
      </c>
      <c r="V137">
        <v>1</v>
      </c>
      <c r="W137" s="4">
        <v>2.7</v>
      </c>
      <c r="X137" t="s">
        <v>91</v>
      </c>
      <c r="Y137">
        <v>0.75</v>
      </c>
      <c r="AA137">
        <v>0</v>
      </c>
      <c r="BF137" s="4">
        <v>1620.39</v>
      </c>
      <c r="BG137" s="4"/>
      <c r="BH137" s="4">
        <v>11342.7</v>
      </c>
    </row>
    <row r="138" spans="6:60" hidden="1">
      <c r="F138" s="2" t="s">
        <v>237</v>
      </c>
      <c r="J138" t="s">
        <v>89</v>
      </c>
      <c r="K138" s="2" t="s">
        <v>234</v>
      </c>
      <c r="O138" s="3">
        <f t="shared" si="4"/>
        <v>2.2040000000000002</v>
      </c>
      <c r="P138" s="4">
        <v>0.42</v>
      </c>
      <c r="Q138">
        <f t="shared" si="5"/>
        <v>8.3999999999999991E-2</v>
      </c>
      <c r="R138" s="4">
        <v>2.12</v>
      </c>
      <c r="S138">
        <v>1</v>
      </c>
      <c r="V138">
        <v>1</v>
      </c>
      <c r="W138" s="4">
        <v>2.12</v>
      </c>
      <c r="X138" t="s">
        <v>91</v>
      </c>
      <c r="Y138">
        <v>0.75</v>
      </c>
      <c r="AA138">
        <v>0</v>
      </c>
      <c r="BF138" s="4">
        <v>1031.6099999999999</v>
      </c>
      <c r="BG138" s="4"/>
      <c r="BH138" s="4">
        <v>7221.24</v>
      </c>
    </row>
    <row r="139" spans="6:60" hidden="1">
      <c r="F139" s="2" t="s">
        <v>238</v>
      </c>
      <c r="J139" t="s">
        <v>89</v>
      </c>
      <c r="K139" s="2" t="s">
        <v>234</v>
      </c>
      <c r="O139" s="3">
        <f t="shared" si="4"/>
        <v>3.1440000000000001</v>
      </c>
      <c r="P139" s="4">
        <v>1.07</v>
      </c>
      <c r="Q139">
        <f t="shared" si="5"/>
        <v>0.21400000000000002</v>
      </c>
      <c r="R139" s="4">
        <v>2.93</v>
      </c>
      <c r="S139">
        <v>1</v>
      </c>
      <c r="V139">
        <v>1</v>
      </c>
      <c r="W139" s="4">
        <v>2.93</v>
      </c>
      <c r="X139" t="s">
        <v>91</v>
      </c>
      <c r="Y139">
        <v>0.75</v>
      </c>
      <c r="AA139">
        <v>0</v>
      </c>
      <c r="BF139" s="4">
        <v>1745.52</v>
      </c>
      <c r="BG139" s="4"/>
      <c r="BH139" s="4">
        <v>12218.65</v>
      </c>
    </row>
    <row r="140" spans="6:60" hidden="1">
      <c r="F140" s="2" t="s">
        <v>239</v>
      </c>
      <c r="J140" t="s">
        <v>89</v>
      </c>
      <c r="K140" s="2" t="s">
        <v>234</v>
      </c>
      <c r="O140" s="3">
        <f t="shared" si="4"/>
        <v>2.496</v>
      </c>
      <c r="P140" s="4">
        <v>0.73</v>
      </c>
      <c r="Q140">
        <f t="shared" si="5"/>
        <v>0.14599999999999999</v>
      </c>
      <c r="R140" s="4">
        <v>2.35</v>
      </c>
      <c r="S140">
        <v>1</v>
      </c>
      <c r="V140">
        <v>1</v>
      </c>
      <c r="W140" s="4">
        <v>2.35</v>
      </c>
      <c r="X140" t="s">
        <v>91</v>
      </c>
      <c r="Y140">
        <v>0.75</v>
      </c>
      <c r="AA140">
        <v>0</v>
      </c>
      <c r="BF140" s="4">
        <v>1420.74</v>
      </c>
      <c r="BG140" s="4"/>
      <c r="BH140" s="4">
        <v>9945.2000000000007</v>
      </c>
    </row>
    <row r="141" spans="6:60" hidden="1">
      <c r="F141" s="2" t="s">
        <v>240</v>
      </c>
      <c r="J141" t="s">
        <v>89</v>
      </c>
      <c r="K141" s="2" t="s">
        <v>241</v>
      </c>
      <c r="O141" s="3">
        <f t="shared" si="4"/>
        <v>5.4160000000000004</v>
      </c>
      <c r="P141" s="4">
        <v>1.03</v>
      </c>
      <c r="Q141">
        <f t="shared" si="5"/>
        <v>0.20600000000000002</v>
      </c>
      <c r="R141" s="4">
        <v>5.21</v>
      </c>
      <c r="S141">
        <v>1</v>
      </c>
      <c r="V141">
        <v>1</v>
      </c>
      <c r="W141" s="4">
        <v>5.21</v>
      </c>
      <c r="X141" t="s">
        <v>91</v>
      </c>
      <c r="Y141">
        <v>0.75</v>
      </c>
      <c r="AA141">
        <v>0</v>
      </c>
      <c r="BF141" s="4">
        <v>3650</v>
      </c>
      <c r="BG141" s="4"/>
      <c r="BH141" s="4">
        <v>25550</v>
      </c>
    </row>
    <row r="142" spans="6:60" hidden="1">
      <c r="F142" s="2" t="s">
        <v>242</v>
      </c>
      <c r="J142" t="s">
        <v>89</v>
      </c>
      <c r="K142" s="2" t="s">
        <v>243</v>
      </c>
      <c r="O142" s="3">
        <f t="shared" si="4"/>
        <v>0</v>
      </c>
      <c r="P142" s="5"/>
      <c r="Q142">
        <f t="shared" si="5"/>
        <v>0</v>
      </c>
      <c r="R142" s="5"/>
      <c r="S142">
        <v>1</v>
      </c>
      <c r="V142">
        <v>1</v>
      </c>
      <c r="W142" s="5"/>
      <c r="X142" t="s">
        <v>91</v>
      </c>
      <c r="Y142">
        <v>0.75</v>
      </c>
      <c r="AA142">
        <v>0</v>
      </c>
      <c r="BF142" s="5"/>
      <c r="BG142" s="4"/>
      <c r="BH142" s="4">
        <v>10297</v>
      </c>
    </row>
    <row r="143" spans="6:60" hidden="1">
      <c r="F143" s="2" t="s">
        <v>244</v>
      </c>
      <c r="J143" t="s">
        <v>89</v>
      </c>
      <c r="K143" s="2" t="s">
        <v>243</v>
      </c>
      <c r="O143" s="3">
        <f t="shared" si="4"/>
        <v>1.252</v>
      </c>
      <c r="P143" s="4">
        <v>0.01</v>
      </c>
      <c r="Q143">
        <f t="shared" si="5"/>
        <v>2E-3</v>
      </c>
      <c r="R143" s="4">
        <v>1.25</v>
      </c>
      <c r="S143">
        <v>1</v>
      </c>
      <c r="V143">
        <v>1</v>
      </c>
      <c r="W143" s="4">
        <v>1.25</v>
      </c>
      <c r="X143" t="s">
        <v>91</v>
      </c>
      <c r="Y143">
        <v>0.75</v>
      </c>
      <c r="AA143">
        <v>0</v>
      </c>
      <c r="BF143" s="4">
        <v>849</v>
      </c>
      <c r="BG143" s="4"/>
      <c r="BH143" s="4">
        <v>5943</v>
      </c>
    </row>
    <row r="144" spans="6:60" hidden="1">
      <c r="F144" s="2" t="s">
        <v>245</v>
      </c>
      <c r="J144" t="s">
        <v>89</v>
      </c>
      <c r="K144" s="2" t="s">
        <v>243</v>
      </c>
      <c r="O144" s="3">
        <f t="shared" si="4"/>
        <v>1.464</v>
      </c>
      <c r="P144" s="4">
        <v>0.02</v>
      </c>
      <c r="Q144">
        <f t="shared" si="5"/>
        <v>4.0000000000000001E-3</v>
      </c>
      <c r="R144" s="4">
        <v>1.46</v>
      </c>
      <c r="S144">
        <v>1</v>
      </c>
      <c r="V144">
        <v>1</v>
      </c>
      <c r="W144" s="4">
        <v>1.46</v>
      </c>
      <c r="X144" t="s">
        <v>91</v>
      </c>
      <c r="Y144">
        <v>0.75</v>
      </c>
      <c r="AA144">
        <v>0</v>
      </c>
      <c r="BF144" s="4">
        <v>905</v>
      </c>
      <c r="BG144" s="4"/>
      <c r="BH144" s="4">
        <v>6335</v>
      </c>
    </row>
    <row r="145" spans="6:60" hidden="1">
      <c r="F145" s="2" t="s">
        <v>246</v>
      </c>
      <c r="J145" t="s">
        <v>89</v>
      </c>
      <c r="K145" s="2" t="s">
        <v>243</v>
      </c>
      <c r="O145" s="3">
        <f t="shared" si="4"/>
        <v>1.3620000000000001</v>
      </c>
      <c r="P145" s="4">
        <v>0.01</v>
      </c>
      <c r="Q145">
        <f t="shared" si="5"/>
        <v>2E-3</v>
      </c>
      <c r="R145" s="4">
        <v>1.36</v>
      </c>
      <c r="S145">
        <v>1</v>
      </c>
      <c r="V145">
        <v>1</v>
      </c>
      <c r="W145" s="4">
        <v>1.36</v>
      </c>
      <c r="X145" t="s">
        <v>91</v>
      </c>
      <c r="Y145">
        <v>0.75</v>
      </c>
      <c r="AA145">
        <v>0</v>
      </c>
      <c r="BF145" s="4">
        <v>905</v>
      </c>
      <c r="BG145" s="4"/>
      <c r="BH145" s="4">
        <v>6335</v>
      </c>
    </row>
    <row r="146" spans="6:60" hidden="1">
      <c r="F146" s="2" t="s">
        <v>247</v>
      </c>
      <c r="J146" t="s">
        <v>89</v>
      </c>
      <c r="K146" s="2" t="s">
        <v>243</v>
      </c>
      <c r="O146" s="3">
        <f t="shared" si="4"/>
        <v>1.4059999999999999</v>
      </c>
      <c r="P146" s="4">
        <v>0.03</v>
      </c>
      <c r="Q146">
        <f t="shared" si="5"/>
        <v>6.0000000000000001E-3</v>
      </c>
      <c r="R146" s="4">
        <v>1.4</v>
      </c>
      <c r="S146">
        <v>1</v>
      </c>
      <c r="V146">
        <v>1</v>
      </c>
      <c r="W146" s="4">
        <v>1.4</v>
      </c>
      <c r="X146" t="s">
        <v>91</v>
      </c>
      <c r="Y146">
        <v>0.75</v>
      </c>
      <c r="AA146">
        <v>0</v>
      </c>
      <c r="BF146" s="4">
        <v>905</v>
      </c>
      <c r="BG146" s="4"/>
      <c r="BH146" s="4">
        <v>6335</v>
      </c>
    </row>
    <row r="147" spans="6:60" hidden="1">
      <c r="F147" s="2" t="s">
        <v>248</v>
      </c>
      <c r="J147" t="s">
        <v>89</v>
      </c>
      <c r="K147" s="2" t="s">
        <v>243</v>
      </c>
      <c r="O147" s="3">
        <f t="shared" si="4"/>
        <v>1.696</v>
      </c>
      <c r="P147" s="4">
        <v>0.18</v>
      </c>
      <c r="Q147">
        <f t="shared" si="5"/>
        <v>3.5999999999999997E-2</v>
      </c>
      <c r="R147" s="4">
        <v>1.66</v>
      </c>
      <c r="S147">
        <v>1</v>
      </c>
      <c r="V147">
        <v>1</v>
      </c>
      <c r="W147" s="4">
        <v>1.66</v>
      </c>
      <c r="X147" t="s">
        <v>91</v>
      </c>
      <c r="Y147">
        <v>0.75</v>
      </c>
      <c r="AA147">
        <v>0</v>
      </c>
      <c r="BF147" s="4">
        <v>1416</v>
      </c>
      <c r="BG147" s="4"/>
      <c r="BH147" s="4">
        <v>9912</v>
      </c>
    </row>
    <row r="148" spans="6:60" hidden="1">
      <c r="F148" s="2" t="s">
        <v>249</v>
      </c>
      <c r="J148" t="s">
        <v>89</v>
      </c>
      <c r="K148" s="2" t="s">
        <v>243</v>
      </c>
      <c r="O148" s="3">
        <f t="shared" si="4"/>
        <v>1.26</v>
      </c>
      <c r="P148" s="4">
        <v>0.2</v>
      </c>
      <c r="Q148">
        <f t="shared" si="5"/>
        <v>0.04</v>
      </c>
      <c r="R148" s="4">
        <v>1.22</v>
      </c>
      <c r="S148">
        <v>1</v>
      </c>
      <c r="V148">
        <v>1</v>
      </c>
      <c r="W148" s="4">
        <v>1.22</v>
      </c>
      <c r="X148" t="s">
        <v>91</v>
      </c>
      <c r="Y148">
        <v>0.75</v>
      </c>
      <c r="AA148">
        <v>0</v>
      </c>
      <c r="BF148" s="4">
        <v>1303</v>
      </c>
      <c r="BG148" s="4"/>
      <c r="BH148" s="4">
        <v>9121</v>
      </c>
    </row>
    <row r="149" spans="6:60" hidden="1">
      <c r="F149" s="2" t="s">
        <v>250</v>
      </c>
      <c r="J149" t="s">
        <v>89</v>
      </c>
      <c r="K149" s="2" t="s">
        <v>243</v>
      </c>
      <c r="O149" s="3">
        <f t="shared" si="4"/>
        <v>0.60599999999999998</v>
      </c>
      <c r="P149" s="4">
        <v>0.08</v>
      </c>
      <c r="Q149">
        <f t="shared" si="5"/>
        <v>1.6E-2</v>
      </c>
      <c r="R149" s="4">
        <v>0.59</v>
      </c>
      <c r="S149">
        <v>1</v>
      </c>
      <c r="V149">
        <v>1</v>
      </c>
      <c r="W149" s="4">
        <v>0.59</v>
      </c>
      <c r="X149" t="s">
        <v>91</v>
      </c>
      <c r="Y149">
        <v>0.75</v>
      </c>
      <c r="AA149">
        <v>0</v>
      </c>
      <c r="BF149" s="4">
        <v>566</v>
      </c>
      <c r="BG149" s="4"/>
      <c r="BH149" s="4">
        <v>3962</v>
      </c>
    </row>
    <row r="150" spans="6:60" hidden="1">
      <c r="F150" s="2" t="s">
        <v>251</v>
      </c>
      <c r="J150" t="s">
        <v>89</v>
      </c>
      <c r="K150" s="2" t="s">
        <v>243</v>
      </c>
      <c r="O150" s="3">
        <f t="shared" si="4"/>
        <v>1.4239999999999999</v>
      </c>
      <c r="P150" s="4">
        <v>0.02</v>
      </c>
      <c r="Q150">
        <f t="shared" si="5"/>
        <v>4.0000000000000001E-3</v>
      </c>
      <c r="R150" s="4">
        <v>1.42</v>
      </c>
      <c r="S150">
        <v>1</v>
      </c>
      <c r="V150">
        <v>1</v>
      </c>
      <c r="W150" s="4">
        <v>1.42</v>
      </c>
      <c r="X150" t="s">
        <v>91</v>
      </c>
      <c r="Y150">
        <v>0.75</v>
      </c>
      <c r="AA150">
        <v>0</v>
      </c>
      <c r="BF150" s="4">
        <v>934</v>
      </c>
      <c r="BG150" s="4"/>
      <c r="BH150" s="4">
        <v>6538</v>
      </c>
    </row>
    <row r="151" spans="6:60" hidden="1">
      <c r="F151" s="2" t="s">
        <v>252</v>
      </c>
      <c r="J151" t="s">
        <v>89</v>
      </c>
      <c r="K151" s="2" t="s">
        <v>243</v>
      </c>
      <c r="O151" s="3">
        <f t="shared" si="4"/>
        <v>0</v>
      </c>
      <c r="P151" s="5"/>
      <c r="Q151">
        <f t="shared" si="5"/>
        <v>0</v>
      </c>
      <c r="R151" s="5"/>
      <c r="S151">
        <v>1</v>
      </c>
      <c r="V151">
        <v>1</v>
      </c>
      <c r="W151" s="5"/>
      <c r="X151" t="s">
        <v>91</v>
      </c>
      <c r="Y151">
        <v>0.75</v>
      </c>
      <c r="AA151">
        <v>0</v>
      </c>
      <c r="BF151" s="5"/>
      <c r="BG151" s="4"/>
      <c r="BH151" s="4">
        <v>10885</v>
      </c>
    </row>
    <row r="152" spans="6:60" hidden="1">
      <c r="F152" s="2" t="s">
        <v>253</v>
      </c>
      <c r="J152" t="s">
        <v>89</v>
      </c>
      <c r="K152" s="2" t="s">
        <v>243</v>
      </c>
      <c r="O152" s="3">
        <f t="shared" si="4"/>
        <v>1.3540000000000001</v>
      </c>
      <c r="P152" s="4">
        <v>0.02</v>
      </c>
      <c r="Q152">
        <f t="shared" si="5"/>
        <v>4.0000000000000001E-3</v>
      </c>
      <c r="R152" s="4">
        <v>1.35</v>
      </c>
      <c r="S152">
        <v>1</v>
      </c>
      <c r="V152">
        <v>1</v>
      </c>
      <c r="W152" s="4">
        <v>1.35</v>
      </c>
      <c r="X152" t="s">
        <v>91</v>
      </c>
      <c r="Y152">
        <v>0.75</v>
      </c>
      <c r="AA152">
        <v>0</v>
      </c>
      <c r="BF152" s="4">
        <v>905</v>
      </c>
      <c r="BG152" s="4"/>
      <c r="BH152" s="4">
        <v>6335</v>
      </c>
    </row>
    <row r="153" spans="6:60" hidden="1">
      <c r="F153" s="2" t="s">
        <v>254</v>
      </c>
      <c r="J153" t="s">
        <v>89</v>
      </c>
      <c r="K153" s="2" t="s">
        <v>243</v>
      </c>
      <c r="O153" s="3">
        <f t="shared" si="4"/>
        <v>1.3620000000000001</v>
      </c>
      <c r="P153" s="4">
        <v>0.01</v>
      </c>
      <c r="Q153">
        <f t="shared" si="5"/>
        <v>2E-3</v>
      </c>
      <c r="R153" s="4">
        <v>1.36</v>
      </c>
      <c r="S153">
        <v>1</v>
      </c>
      <c r="V153">
        <v>1</v>
      </c>
      <c r="W153" s="4">
        <v>1.36</v>
      </c>
      <c r="X153" t="s">
        <v>91</v>
      </c>
      <c r="Y153">
        <v>0.75</v>
      </c>
      <c r="AA153">
        <v>0</v>
      </c>
      <c r="BF153" s="4">
        <v>850</v>
      </c>
      <c r="BG153" s="4"/>
      <c r="BH153" s="4">
        <v>5950</v>
      </c>
    </row>
    <row r="154" spans="6:60" hidden="1">
      <c r="F154" s="2" t="s">
        <v>255</v>
      </c>
      <c r="J154" t="s">
        <v>89</v>
      </c>
      <c r="K154" s="2" t="s">
        <v>243</v>
      </c>
      <c r="O154" s="3">
        <f t="shared" si="4"/>
        <v>0</v>
      </c>
      <c r="P154" s="5"/>
      <c r="Q154">
        <f t="shared" si="5"/>
        <v>0</v>
      </c>
      <c r="R154" s="5"/>
      <c r="S154">
        <v>1</v>
      </c>
      <c r="V154">
        <v>1</v>
      </c>
      <c r="W154" s="5"/>
      <c r="X154" t="s">
        <v>91</v>
      </c>
      <c r="Y154">
        <v>0.75</v>
      </c>
      <c r="AA154">
        <v>0</v>
      </c>
      <c r="BF154" s="5"/>
      <c r="BG154" s="4"/>
      <c r="BH154" s="4">
        <v>10297</v>
      </c>
    </row>
    <row r="155" spans="6:60" hidden="1">
      <c r="F155" s="2" t="s">
        <v>256</v>
      </c>
      <c r="J155" t="s">
        <v>89</v>
      </c>
      <c r="K155" s="2" t="s">
        <v>243</v>
      </c>
      <c r="O155" s="3">
        <f t="shared" si="4"/>
        <v>1.494</v>
      </c>
      <c r="P155" s="4">
        <v>0.02</v>
      </c>
      <c r="Q155">
        <f t="shared" si="5"/>
        <v>4.0000000000000001E-3</v>
      </c>
      <c r="R155" s="4">
        <v>1.49</v>
      </c>
      <c r="S155">
        <v>1</v>
      </c>
      <c r="V155">
        <v>1</v>
      </c>
      <c r="W155" s="4">
        <v>1.49</v>
      </c>
      <c r="X155" t="s">
        <v>91</v>
      </c>
      <c r="Y155">
        <v>0.75</v>
      </c>
      <c r="AA155">
        <v>0</v>
      </c>
      <c r="BF155" s="4">
        <v>964</v>
      </c>
      <c r="BG155" s="4"/>
      <c r="BH155" s="4">
        <v>6748</v>
      </c>
    </row>
    <row r="156" spans="6:60" hidden="1">
      <c r="F156" s="2" t="s">
        <v>257</v>
      </c>
      <c r="J156" t="s">
        <v>89</v>
      </c>
      <c r="K156" s="2" t="s">
        <v>243</v>
      </c>
      <c r="O156" s="3">
        <f t="shared" si="4"/>
        <v>0</v>
      </c>
      <c r="P156" s="5"/>
      <c r="Q156">
        <f t="shared" si="5"/>
        <v>0</v>
      </c>
      <c r="R156" s="5"/>
      <c r="S156">
        <v>1</v>
      </c>
      <c r="V156">
        <v>1</v>
      </c>
      <c r="W156" s="5"/>
      <c r="X156" t="s">
        <v>91</v>
      </c>
      <c r="Y156">
        <v>0.75</v>
      </c>
      <c r="AA156">
        <v>0</v>
      </c>
      <c r="BF156" s="5"/>
      <c r="BG156" s="4"/>
      <c r="BH156" s="4">
        <v>9912</v>
      </c>
    </row>
    <row r="157" spans="6:60" hidden="1">
      <c r="F157" s="2" t="s">
        <v>258</v>
      </c>
      <c r="J157" t="s">
        <v>89</v>
      </c>
      <c r="K157" s="2" t="s">
        <v>243</v>
      </c>
      <c r="O157" s="3">
        <f t="shared" si="4"/>
        <v>1.6260000000000001</v>
      </c>
      <c r="P157" s="4">
        <v>0.03</v>
      </c>
      <c r="Q157">
        <f t="shared" si="5"/>
        <v>6.0000000000000001E-3</v>
      </c>
      <c r="R157" s="4">
        <v>1.62</v>
      </c>
      <c r="S157">
        <v>1</v>
      </c>
      <c r="V157">
        <v>1</v>
      </c>
      <c r="W157" s="4">
        <v>1.62</v>
      </c>
      <c r="X157" t="s">
        <v>91</v>
      </c>
      <c r="Y157">
        <v>0.75</v>
      </c>
      <c r="AA157">
        <v>0</v>
      </c>
      <c r="BF157" s="4">
        <v>1077</v>
      </c>
      <c r="BG157" s="4"/>
      <c r="BH157" s="4">
        <v>7539</v>
      </c>
    </row>
    <row r="158" spans="6:60" hidden="1">
      <c r="F158" s="2" t="s">
        <v>259</v>
      </c>
      <c r="J158" t="s">
        <v>89</v>
      </c>
      <c r="K158" s="2" t="s">
        <v>260</v>
      </c>
      <c r="O158" s="3">
        <f t="shared" si="4"/>
        <v>2.492</v>
      </c>
      <c r="P158" s="4">
        <v>0.31</v>
      </c>
      <c r="Q158">
        <f t="shared" si="5"/>
        <v>6.2E-2</v>
      </c>
      <c r="R158" s="4">
        <v>2.4300000000000002</v>
      </c>
      <c r="S158">
        <v>1</v>
      </c>
      <c r="V158">
        <v>1</v>
      </c>
      <c r="W158" s="4">
        <v>2.4300000000000002</v>
      </c>
      <c r="X158" t="s">
        <v>91</v>
      </c>
      <c r="Y158">
        <v>0.75</v>
      </c>
      <c r="AA158">
        <v>0</v>
      </c>
      <c r="BF158" s="4">
        <v>1726</v>
      </c>
      <c r="BG158" s="4"/>
      <c r="BH158" s="4">
        <v>12082</v>
      </c>
    </row>
    <row r="159" spans="6:60" hidden="1">
      <c r="F159" s="2" t="s">
        <v>261</v>
      </c>
      <c r="J159" t="s">
        <v>89</v>
      </c>
      <c r="K159" s="2" t="s">
        <v>243</v>
      </c>
      <c r="O159" s="3">
        <f t="shared" si="4"/>
        <v>0</v>
      </c>
      <c r="P159" s="5"/>
      <c r="Q159">
        <f t="shared" si="5"/>
        <v>0</v>
      </c>
      <c r="R159" s="5"/>
      <c r="S159">
        <v>1</v>
      </c>
      <c r="V159">
        <v>1</v>
      </c>
      <c r="W159" s="5"/>
      <c r="X159" t="s">
        <v>91</v>
      </c>
      <c r="Y159">
        <v>0.75</v>
      </c>
      <c r="AA159">
        <v>0</v>
      </c>
      <c r="BF159" s="5"/>
      <c r="BG159" s="4"/>
      <c r="BH159" s="4">
        <v>10297</v>
      </c>
    </row>
    <row r="160" spans="6:60" hidden="1">
      <c r="F160" s="2" t="s">
        <v>262</v>
      </c>
      <c r="J160" t="s">
        <v>89</v>
      </c>
      <c r="K160" s="2" t="s">
        <v>263</v>
      </c>
      <c r="O160" s="3">
        <f t="shared" si="4"/>
        <v>16.79</v>
      </c>
      <c r="P160" s="4">
        <v>2.2999999999999998</v>
      </c>
      <c r="Q160">
        <f t="shared" si="5"/>
        <v>0.45999999999999996</v>
      </c>
      <c r="R160" s="4">
        <v>16.329999999999998</v>
      </c>
      <c r="S160">
        <v>1</v>
      </c>
      <c r="V160">
        <v>1</v>
      </c>
      <c r="W160" s="4">
        <v>16.329999999999998</v>
      </c>
      <c r="X160" t="s">
        <v>91</v>
      </c>
      <c r="Y160">
        <v>0.75</v>
      </c>
      <c r="AA160">
        <v>0</v>
      </c>
      <c r="BF160" s="4">
        <v>12728</v>
      </c>
      <c r="BG160" s="4"/>
      <c r="BH160" s="4">
        <v>89096</v>
      </c>
    </row>
    <row r="161" spans="6:60" ht="13.8" hidden="1" customHeight="1">
      <c r="F161" s="2" t="s">
        <v>264</v>
      </c>
      <c r="J161" t="s">
        <v>89</v>
      </c>
      <c r="K161" s="2" t="s">
        <v>265</v>
      </c>
      <c r="O161" s="3">
        <f t="shared" si="4"/>
        <v>10.928000000000001</v>
      </c>
      <c r="P161" s="4">
        <v>1.34</v>
      </c>
      <c r="Q161">
        <f t="shared" si="5"/>
        <v>0.26800000000000002</v>
      </c>
      <c r="R161" s="4">
        <v>10.66</v>
      </c>
      <c r="S161">
        <v>1</v>
      </c>
      <c r="V161">
        <v>1</v>
      </c>
      <c r="W161" s="4">
        <v>10.66</v>
      </c>
      <c r="X161" t="s">
        <v>91</v>
      </c>
      <c r="Y161">
        <v>0.75</v>
      </c>
      <c r="AA161">
        <v>0</v>
      </c>
      <c r="BF161" s="4">
        <v>8244</v>
      </c>
      <c r="BG161" s="4"/>
      <c r="BH161" s="4">
        <v>57708</v>
      </c>
    </row>
    <row r="162" spans="6:60" hidden="1">
      <c r="F162" s="2" t="s">
        <v>266</v>
      </c>
      <c r="J162" t="s">
        <v>89</v>
      </c>
      <c r="K162" s="2" t="s">
        <v>267</v>
      </c>
      <c r="O162" s="3">
        <f t="shared" si="4"/>
        <v>8.59</v>
      </c>
      <c r="P162" s="4">
        <v>0.7</v>
      </c>
      <c r="Q162">
        <f t="shared" si="5"/>
        <v>0.13999999999999999</v>
      </c>
      <c r="R162" s="4">
        <v>8.4499999999999993</v>
      </c>
      <c r="S162">
        <v>1</v>
      </c>
      <c r="V162">
        <v>1</v>
      </c>
      <c r="W162" s="4">
        <v>8.4499999999999993</v>
      </c>
      <c r="X162" t="s">
        <v>91</v>
      </c>
      <c r="Y162">
        <v>0.75</v>
      </c>
      <c r="AA162">
        <v>0</v>
      </c>
      <c r="BF162" s="4">
        <v>6166</v>
      </c>
      <c r="BG162" s="4"/>
      <c r="BH162" s="4">
        <v>43162</v>
      </c>
    </row>
    <row r="163" spans="6:60" hidden="1">
      <c r="F163" s="2" t="s">
        <v>268</v>
      </c>
      <c r="J163" t="s">
        <v>89</v>
      </c>
      <c r="K163" s="2" t="s">
        <v>269</v>
      </c>
      <c r="O163" s="3">
        <f t="shared" si="4"/>
        <v>4.8235999999999999</v>
      </c>
      <c r="P163" s="4">
        <v>0.36799999999999999</v>
      </c>
      <c r="Q163">
        <f t="shared" si="5"/>
        <v>7.3599999999999999E-2</v>
      </c>
      <c r="R163" s="4">
        <v>4.75</v>
      </c>
      <c r="S163">
        <v>1</v>
      </c>
      <c r="V163">
        <v>1</v>
      </c>
      <c r="W163" s="4">
        <v>4.75</v>
      </c>
      <c r="X163" t="s">
        <v>91</v>
      </c>
      <c r="Y163">
        <v>0.75</v>
      </c>
      <c r="AA163">
        <v>0</v>
      </c>
      <c r="BF163" s="4">
        <v>4183</v>
      </c>
      <c r="BG163" s="4"/>
      <c r="BH163" s="4">
        <v>29281</v>
      </c>
    </row>
    <row r="164" spans="6:60" hidden="1">
      <c r="F164" s="2" t="s">
        <v>270</v>
      </c>
      <c r="J164" t="s">
        <v>89</v>
      </c>
      <c r="K164" s="2" t="s">
        <v>269</v>
      </c>
      <c r="O164" s="3">
        <f t="shared" si="4"/>
        <v>3.6614</v>
      </c>
      <c r="P164" s="4">
        <v>0.40699999999999997</v>
      </c>
      <c r="Q164">
        <f t="shared" si="5"/>
        <v>8.14E-2</v>
      </c>
      <c r="R164" s="4">
        <v>3.58</v>
      </c>
      <c r="S164">
        <v>1</v>
      </c>
      <c r="V164">
        <v>1</v>
      </c>
      <c r="W164" s="4">
        <v>3.58</v>
      </c>
      <c r="X164" t="s">
        <v>91</v>
      </c>
      <c r="Y164">
        <v>0.75</v>
      </c>
      <c r="AA164">
        <v>0</v>
      </c>
      <c r="BF164" s="4">
        <v>3077</v>
      </c>
      <c r="BG164" s="4"/>
      <c r="BH164" s="4">
        <v>21539</v>
      </c>
    </row>
    <row r="165" spans="6:60" hidden="1">
      <c r="F165" s="2" t="s">
        <v>271</v>
      </c>
      <c r="J165" t="s">
        <v>89</v>
      </c>
      <c r="K165" s="2" t="s">
        <v>269</v>
      </c>
      <c r="O165" s="3">
        <f t="shared" si="4"/>
        <v>3.4754</v>
      </c>
      <c r="P165" s="4">
        <v>0.27700000000000002</v>
      </c>
      <c r="Q165">
        <f t="shared" si="5"/>
        <v>5.5400000000000005E-2</v>
      </c>
      <c r="R165" s="4">
        <v>3.42</v>
      </c>
      <c r="S165">
        <v>1</v>
      </c>
      <c r="V165">
        <v>1</v>
      </c>
      <c r="W165" s="4">
        <v>3.42</v>
      </c>
      <c r="X165" t="s">
        <v>91</v>
      </c>
      <c r="Y165">
        <v>0.75</v>
      </c>
      <c r="AA165">
        <v>0</v>
      </c>
      <c r="BF165" s="4">
        <v>2825</v>
      </c>
      <c r="BG165" s="4"/>
      <c r="BH165" s="4">
        <v>19775</v>
      </c>
    </row>
    <row r="166" spans="6:60" hidden="1">
      <c r="F166" s="2" t="s">
        <v>272</v>
      </c>
      <c r="J166" t="s">
        <v>89</v>
      </c>
      <c r="K166" s="2" t="s">
        <v>269</v>
      </c>
      <c r="O166" s="3">
        <f t="shared" si="4"/>
        <v>6.7600000000000007E-2</v>
      </c>
      <c r="P166" s="4">
        <v>0.33800000000000002</v>
      </c>
      <c r="Q166">
        <f t="shared" si="5"/>
        <v>6.7600000000000007E-2</v>
      </c>
      <c r="R166" s="5"/>
      <c r="S166">
        <v>1</v>
      </c>
      <c r="V166">
        <v>1</v>
      </c>
      <c r="W166" s="5"/>
      <c r="X166" t="s">
        <v>91</v>
      </c>
      <c r="Y166">
        <v>0.75</v>
      </c>
      <c r="AA166">
        <v>0</v>
      </c>
      <c r="BF166" s="5"/>
      <c r="BG166" s="4"/>
      <c r="BH166" s="4">
        <v>22155</v>
      </c>
    </row>
    <row r="167" spans="6:60" hidden="1">
      <c r="F167" s="2" t="s">
        <v>273</v>
      </c>
      <c r="J167" t="s">
        <v>89</v>
      </c>
      <c r="K167" s="2" t="s">
        <v>274</v>
      </c>
      <c r="O167" s="3">
        <f t="shared" si="4"/>
        <v>4.1748000000000003</v>
      </c>
      <c r="P167" s="4">
        <v>0.27400000000000002</v>
      </c>
      <c r="Q167">
        <f t="shared" si="5"/>
        <v>5.4800000000000001E-2</v>
      </c>
      <c r="R167" s="4">
        <v>4.12</v>
      </c>
      <c r="S167">
        <v>1</v>
      </c>
      <c r="V167">
        <v>1</v>
      </c>
      <c r="W167" s="4">
        <v>4.12</v>
      </c>
      <c r="X167" t="s">
        <v>91</v>
      </c>
      <c r="Y167">
        <v>0.75</v>
      </c>
      <c r="AA167">
        <v>0</v>
      </c>
      <c r="BF167" s="4">
        <v>3818</v>
      </c>
      <c r="BG167" s="4"/>
      <c r="BH167" s="4">
        <v>26726</v>
      </c>
    </row>
    <row r="168" spans="6:60" hidden="1">
      <c r="F168" s="2" t="s">
        <v>275</v>
      </c>
      <c r="J168" t="s">
        <v>89</v>
      </c>
      <c r="K168" s="2" t="s">
        <v>269</v>
      </c>
      <c r="O168" s="3">
        <f t="shared" si="4"/>
        <v>2.1932</v>
      </c>
      <c r="P168" s="4">
        <v>0.216</v>
      </c>
      <c r="Q168">
        <f t="shared" si="5"/>
        <v>4.3200000000000002E-2</v>
      </c>
      <c r="R168" s="4">
        <v>2.15</v>
      </c>
      <c r="S168">
        <v>1</v>
      </c>
      <c r="V168">
        <v>1</v>
      </c>
      <c r="W168" s="4">
        <v>2.15</v>
      </c>
      <c r="X168" t="s">
        <v>91</v>
      </c>
      <c r="Y168">
        <v>0.75</v>
      </c>
      <c r="AA168">
        <v>0</v>
      </c>
      <c r="BF168" s="4">
        <v>1810</v>
      </c>
      <c r="BG168" s="4"/>
      <c r="BH168" s="4">
        <v>12670</v>
      </c>
    </row>
    <row r="169" spans="6:60">
      <c r="F169" s="2" t="s">
        <v>276</v>
      </c>
      <c r="J169" t="s">
        <v>89</v>
      </c>
      <c r="K169" s="2" t="s">
        <v>277</v>
      </c>
      <c r="O169" s="3">
        <f t="shared" si="4"/>
        <v>9.3799999999999994E-2</v>
      </c>
      <c r="P169" s="4">
        <v>0.46899999999999997</v>
      </c>
      <c r="Q169">
        <f t="shared" si="5"/>
        <v>9.3799999999999994E-2</v>
      </c>
      <c r="R169" s="5"/>
      <c r="S169">
        <v>1</v>
      </c>
      <c r="V169">
        <v>1</v>
      </c>
      <c r="W169" s="5"/>
      <c r="X169" t="s">
        <v>91</v>
      </c>
      <c r="Y169">
        <v>0.75</v>
      </c>
      <c r="AA169">
        <v>0</v>
      </c>
      <c r="BF169" s="5"/>
      <c r="BG169" s="4"/>
      <c r="BH169" s="4">
        <v>41265</v>
      </c>
    </row>
    <row r="170" spans="6:60" hidden="1">
      <c r="F170" s="2" t="s">
        <v>278</v>
      </c>
      <c r="J170" t="s">
        <v>89</v>
      </c>
      <c r="K170" s="2" t="s">
        <v>279</v>
      </c>
      <c r="O170" s="3">
        <f t="shared" si="4"/>
        <v>9.1248000000000005</v>
      </c>
      <c r="P170" s="4">
        <v>1.5740000000000001</v>
      </c>
      <c r="Q170">
        <f t="shared" si="5"/>
        <v>0.31480000000000002</v>
      </c>
      <c r="R170" s="4">
        <v>8.81</v>
      </c>
      <c r="S170">
        <v>1</v>
      </c>
      <c r="V170">
        <v>1</v>
      </c>
      <c r="W170" s="4">
        <v>8.81</v>
      </c>
      <c r="X170" t="s">
        <v>91</v>
      </c>
      <c r="Y170">
        <v>0.75</v>
      </c>
      <c r="AA170">
        <v>0</v>
      </c>
      <c r="BF170" s="4">
        <v>9158</v>
      </c>
      <c r="BG170" s="4"/>
      <c r="BH170" s="4">
        <v>64106</v>
      </c>
    </row>
    <row r="171" spans="6:60" hidden="1">
      <c r="F171" s="2" t="s">
        <v>280</v>
      </c>
      <c r="J171" t="s">
        <v>89</v>
      </c>
      <c r="K171" s="2" t="s">
        <v>281</v>
      </c>
      <c r="O171" s="3">
        <f t="shared" si="4"/>
        <v>4.25</v>
      </c>
      <c r="P171" s="4">
        <v>2.9</v>
      </c>
      <c r="Q171">
        <f t="shared" si="5"/>
        <v>0.57999999999999996</v>
      </c>
      <c r="R171" s="4">
        <v>3.67</v>
      </c>
      <c r="S171">
        <v>1</v>
      </c>
      <c r="V171">
        <v>1</v>
      </c>
      <c r="W171" s="4">
        <v>3.67</v>
      </c>
      <c r="X171" t="s">
        <v>91</v>
      </c>
      <c r="Y171">
        <v>0.75</v>
      </c>
      <c r="AA171">
        <v>0</v>
      </c>
      <c r="BF171" s="4">
        <v>6935</v>
      </c>
      <c r="BG171" s="4"/>
      <c r="BH171" s="4">
        <v>48545</v>
      </c>
    </row>
    <row r="172" spans="6:60" hidden="1">
      <c r="F172" s="2" t="s">
        <v>282</v>
      </c>
      <c r="J172" t="s">
        <v>89</v>
      </c>
      <c r="K172" s="2" t="s">
        <v>283</v>
      </c>
      <c r="O172" s="3">
        <f t="shared" si="4"/>
        <v>14.678000000000001</v>
      </c>
      <c r="P172" s="4">
        <v>9.34</v>
      </c>
      <c r="Q172">
        <f t="shared" si="5"/>
        <v>1.8679999999999999</v>
      </c>
      <c r="R172" s="4">
        <v>12.81</v>
      </c>
      <c r="S172">
        <v>1</v>
      </c>
      <c r="V172">
        <v>1</v>
      </c>
      <c r="W172" s="4">
        <v>12.81</v>
      </c>
      <c r="X172" t="s">
        <v>91</v>
      </c>
      <c r="Y172">
        <v>0.75</v>
      </c>
      <c r="AA172">
        <v>0</v>
      </c>
      <c r="BF172" s="4">
        <v>27594</v>
      </c>
      <c r="BG172" s="4"/>
      <c r="BH172" s="4">
        <v>193158</v>
      </c>
    </row>
    <row r="173" spans="6:60" hidden="1">
      <c r="F173" s="2" t="s">
        <v>284</v>
      </c>
      <c r="J173" t="s">
        <v>89</v>
      </c>
      <c r="K173" s="2" t="s">
        <v>285</v>
      </c>
      <c r="O173" s="3">
        <f t="shared" si="4"/>
        <v>5.0339999999999998</v>
      </c>
      <c r="P173" s="4">
        <v>1.47</v>
      </c>
      <c r="Q173">
        <f t="shared" si="5"/>
        <v>0.29399999999999998</v>
      </c>
      <c r="R173" s="4">
        <v>4.74</v>
      </c>
      <c r="S173">
        <v>1</v>
      </c>
      <c r="V173">
        <v>1</v>
      </c>
      <c r="W173" s="4">
        <v>4.74</v>
      </c>
      <c r="X173" t="s">
        <v>91</v>
      </c>
      <c r="Y173">
        <v>0.75</v>
      </c>
      <c r="AA173">
        <v>0</v>
      </c>
      <c r="BF173" s="4">
        <v>5475</v>
      </c>
      <c r="BG173" s="4"/>
      <c r="BH173" s="4">
        <v>38325</v>
      </c>
    </row>
    <row r="174" spans="6:60" hidden="1">
      <c r="F174" s="2" t="s">
        <v>286</v>
      </c>
      <c r="J174" t="s">
        <v>89</v>
      </c>
      <c r="K174" s="2" t="s">
        <v>287</v>
      </c>
      <c r="O174" s="3">
        <f t="shared" si="4"/>
        <v>3.3600000000000003</v>
      </c>
      <c r="P174" s="4">
        <v>0.9</v>
      </c>
      <c r="Q174">
        <f t="shared" si="5"/>
        <v>0.18</v>
      </c>
      <c r="R174" s="4">
        <v>3.18</v>
      </c>
      <c r="S174">
        <v>1</v>
      </c>
      <c r="V174">
        <v>1</v>
      </c>
      <c r="W174" s="4">
        <v>3.18</v>
      </c>
      <c r="X174" t="s">
        <v>91</v>
      </c>
      <c r="Y174">
        <v>0.75</v>
      </c>
      <c r="AA174">
        <v>0</v>
      </c>
      <c r="BF174" s="4">
        <v>730</v>
      </c>
      <c r="BG174" s="4"/>
      <c r="BH174" s="4">
        <v>5110</v>
      </c>
    </row>
    <row r="175" spans="6:60" hidden="1">
      <c r="F175" s="2" t="s">
        <v>288</v>
      </c>
      <c r="J175" t="s">
        <v>89</v>
      </c>
      <c r="K175" s="2" t="s">
        <v>287</v>
      </c>
      <c r="O175" s="3">
        <f t="shared" si="4"/>
        <v>3.1053999999999999</v>
      </c>
      <c r="P175" s="4">
        <v>0.72699999999999998</v>
      </c>
      <c r="Q175">
        <f t="shared" si="5"/>
        <v>0.1454</v>
      </c>
      <c r="R175" s="4">
        <v>2.96</v>
      </c>
      <c r="S175">
        <v>1</v>
      </c>
      <c r="V175">
        <v>1</v>
      </c>
      <c r="W175" s="4">
        <v>2.96</v>
      </c>
      <c r="X175" t="s">
        <v>91</v>
      </c>
      <c r="Y175">
        <v>0.75</v>
      </c>
      <c r="AA175">
        <v>0</v>
      </c>
      <c r="BF175" s="4">
        <v>730</v>
      </c>
      <c r="BG175" s="4"/>
      <c r="BH175" s="4">
        <v>5110</v>
      </c>
    </row>
    <row r="176" spans="6:60" hidden="1">
      <c r="F176" s="2" t="s">
        <v>289</v>
      </c>
      <c r="J176" t="s">
        <v>89</v>
      </c>
      <c r="K176" s="2" t="s">
        <v>283</v>
      </c>
      <c r="O176" s="3">
        <f t="shared" si="4"/>
        <v>10.513999999999999</v>
      </c>
      <c r="P176" s="4">
        <v>3.77</v>
      </c>
      <c r="Q176">
        <f t="shared" si="5"/>
        <v>0.754</v>
      </c>
      <c r="R176" s="4">
        <v>9.76</v>
      </c>
      <c r="S176">
        <v>1</v>
      </c>
      <c r="V176">
        <v>1</v>
      </c>
      <c r="W176" s="4">
        <v>9.76</v>
      </c>
      <c r="X176" t="s">
        <v>91</v>
      </c>
      <c r="Y176">
        <v>0.75</v>
      </c>
      <c r="AA176">
        <v>0</v>
      </c>
      <c r="BF176" s="4">
        <v>16425</v>
      </c>
      <c r="BG176" s="4"/>
      <c r="BH176" s="4">
        <v>114975</v>
      </c>
    </row>
    <row r="177" spans="6:60" hidden="1">
      <c r="F177" s="2" t="s">
        <v>290</v>
      </c>
      <c r="J177" t="s">
        <v>89</v>
      </c>
      <c r="K177" s="2" t="s">
        <v>291</v>
      </c>
      <c r="O177" s="3">
        <f t="shared" si="4"/>
        <v>11.95</v>
      </c>
      <c r="P177" s="4">
        <v>5.2</v>
      </c>
      <c r="Q177">
        <f t="shared" si="5"/>
        <v>1.04</v>
      </c>
      <c r="R177" s="4">
        <v>10.91</v>
      </c>
      <c r="S177">
        <v>1</v>
      </c>
      <c r="V177">
        <v>1</v>
      </c>
      <c r="W177" s="4">
        <v>10.91</v>
      </c>
      <c r="X177" t="s">
        <v>91</v>
      </c>
      <c r="Y177">
        <v>0.75</v>
      </c>
      <c r="AA177">
        <v>0</v>
      </c>
      <c r="BF177" s="4">
        <v>20440</v>
      </c>
      <c r="BG177" s="4"/>
      <c r="BH177" s="4">
        <v>143080</v>
      </c>
    </row>
    <row r="178" spans="6:60" hidden="1">
      <c r="F178" s="2" t="s">
        <v>292</v>
      </c>
      <c r="J178" t="s">
        <v>89</v>
      </c>
      <c r="K178" s="2" t="s">
        <v>291</v>
      </c>
      <c r="O178" s="3">
        <f t="shared" si="4"/>
        <v>5.98</v>
      </c>
      <c r="P178" s="4">
        <v>2.85</v>
      </c>
      <c r="Q178">
        <f t="shared" si="5"/>
        <v>0.57000000000000006</v>
      </c>
      <c r="R178" s="4">
        <v>5.41</v>
      </c>
      <c r="S178">
        <v>1</v>
      </c>
      <c r="V178">
        <v>1</v>
      </c>
      <c r="W178" s="4">
        <v>5.41</v>
      </c>
      <c r="X178" t="s">
        <v>91</v>
      </c>
      <c r="Y178">
        <v>0.75</v>
      </c>
      <c r="AA178">
        <v>0</v>
      </c>
      <c r="BF178" s="4">
        <v>10585</v>
      </c>
      <c r="BG178" s="4"/>
      <c r="BH178" s="4">
        <v>74095</v>
      </c>
    </row>
    <row r="179" spans="6:60" hidden="1">
      <c r="F179" s="2" t="s">
        <v>293</v>
      </c>
      <c r="J179" t="s">
        <v>89</v>
      </c>
      <c r="K179" s="2" t="s">
        <v>291</v>
      </c>
      <c r="O179" s="3">
        <f t="shared" si="4"/>
        <v>5.5500000000000007</v>
      </c>
      <c r="P179" s="4">
        <v>2</v>
      </c>
      <c r="Q179">
        <f t="shared" si="5"/>
        <v>0.4</v>
      </c>
      <c r="R179" s="4">
        <v>5.15</v>
      </c>
      <c r="S179">
        <v>1</v>
      </c>
      <c r="V179">
        <v>1</v>
      </c>
      <c r="W179" s="4">
        <v>5.15</v>
      </c>
      <c r="X179" t="s">
        <v>91</v>
      </c>
      <c r="Y179">
        <v>0.75</v>
      </c>
      <c r="AA179">
        <v>0</v>
      </c>
      <c r="BF179" s="4">
        <v>8030</v>
      </c>
      <c r="BG179" s="4"/>
      <c r="BH179" s="4">
        <v>56210</v>
      </c>
    </row>
    <row r="180" spans="6:60" hidden="1">
      <c r="F180" s="2" t="s">
        <v>294</v>
      </c>
      <c r="J180" t="s">
        <v>89</v>
      </c>
      <c r="K180" s="2" t="s">
        <v>285</v>
      </c>
      <c r="O180" s="3">
        <f t="shared" si="4"/>
        <v>4.7160000000000002</v>
      </c>
      <c r="P180" s="4">
        <v>1.48</v>
      </c>
      <c r="Q180">
        <f t="shared" si="5"/>
        <v>0.29599999999999999</v>
      </c>
      <c r="R180" s="4">
        <v>4.42</v>
      </c>
      <c r="S180">
        <v>1</v>
      </c>
      <c r="V180">
        <v>1</v>
      </c>
      <c r="W180" s="4">
        <v>4.42</v>
      </c>
      <c r="X180" t="s">
        <v>91</v>
      </c>
      <c r="Y180">
        <v>0.75</v>
      </c>
      <c r="AA180">
        <v>0</v>
      </c>
      <c r="BF180" s="4">
        <v>5475</v>
      </c>
      <c r="BG180" s="4"/>
      <c r="BH180" s="4">
        <v>38325</v>
      </c>
    </row>
    <row r="181" spans="6:60" hidden="1">
      <c r="F181" s="2" t="s">
        <v>295</v>
      </c>
      <c r="J181" t="s">
        <v>89</v>
      </c>
      <c r="K181" s="2" t="s">
        <v>296</v>
      </c>
      <c r="O181" s="3">
        <f t="shared" si="4"/>
        <v>0.47439999999999999</v>
      </c>
      <c r="P181" s="4">
        <v>0.17199999999999999</v>
      </c>
      <c r="Q181">
        <f t="shared" si="5"/>
        <v>3.44E-2</v>
      </c>
      <c r="R181" s="4">
        <v>0.44</v>
      </c>
      <c r="S181">
        <v>1</v>
      </c>
      <c r="V181">
        <v>1</v>
      </c>
      <c r="W181" s="4">
        <v>0.44</v>
      </c>
      <c r="X181" t="s">
        <v>91</v>
      </c>
      <c r="Y181">
        <v>0.75</v>
      </c>
      <c r="AA181">
        <v>0</v>
      </c>
      <c r="BF181" s="4">
        <v>495</v>
      </c>
      <c r="BG181" s="4"/>
      <c r="BH181" s="4">
        <v>3465</v>
      </c>
    </row>
    <row r="182" spans="6:60" hidden="1">
      <c r="F182" s="2" t="s">
        <v>297</v>
      </c>
      <c r="J182" t="s">
        <v>89</v>
      </c>
      <c r="K182" s="2" t="s">
        <v>298</v>
      </c>
      <c r="O182" s="3">
        <f t="shared" si="4"/>
        <v>0.22719999999999999</v>
      </c>
      <c r="P182" s="4">
        <v>8.5999999999999993E-2</v>
      </c>
      <c r="Q182">
        <f t="shared" si="5"/>
        <v>1.72E-2</v>
      </c>
      <c r="R182" s="4">
        <v>0.21</v>
      </c>
      <c r="S182">
        <v>1</v>
      </c>
      <c r="V182">
        <v>1</v>
      </c>
      <c r="W182" s="4">
        <v>0.21</v>
      </c>
      <c r="X182" t="s">
        <v>91</v>
      </c>
      <c r="Y182">
        <v>0.75</v>
      </c>
      <c r="AA182">
        <v>0</v>
      </c>
      <c r="BF182" s="4">
        <v>267</v>
      </c>
      <c r="BG182" s="4"/>
      <c r="BH182" s="4">
        <v>1869</v>
      </c>
    </row>
    <row r="183" spans="6:60" hidden="1">
      <c r="F183" s="2" t="s">
        <v>299</v>
      </c>
      <c r="J183" t="s">
        <v>89</v>
      </c>
      <c r="K183" s="2" t="s">
        <v>300</v>
      </c>
      <c r="O183" s="3">
        <f t="shared" si="4"/>
        <v>33.521999999999998</v>
      </c>
      <c r="P183" s="4">
        <v>3.01</v>
      </c>
      <c r="Q183">
        <f t="shared" si="5"/>
        <v>0.60199999999999998</v>
      </c>
      <c r="R183" s="4">
        <v>32.92</v>
      </c>
      <c r="S183">
        <v>1</v>
      </c>
      <c r="V183">
        <v>1</v>
      </c>
      <c r="W183" s="4">
        <v>32.92</v>
      </c>
      <c r="X183" t="s">
        <v>91</v>
      </c>
      <c r="Y183">
        <v>0.75</v>
      </c>
      <c r="AA183">
        <v>0</v>
      </c>
      <c r="BF183" s="4">
        <v>24820</v>
      </c>
      <c r="BG183" s="4"/>
      <c r="BH183" s="4">
        <v>173740</v>
      </c>
    </row>
    <row r="184" spans="6:60" hidden="1">
      <c r="F184" s="2" t="s">
        <v>301</v>
      </c>
      <c r="J184" t="s">
        <v>89</v>
      </c>
      <c r="K184" s="2" t="s">
        <v>234</v>
      </c>
      <c r="O184" s="3">
        <f t="shared" si="4"/>
        <v>3.2040000000000002</v>
      </c>
      <c r="P184" s="4">
        <v>0.22</v>
      </c>
      <c r="Q184">
        <f t="shared" si="5"/>
        <v>4.3999999999999997E-2</v>
      </c>
      <c r="R184" s="4">
        <v>3.16</v>
      </c>
      <c r="S184">
        <v>1</v>
      </c>
      <c r="V184">
        <v>1</v>
      </c>
      <c r="W184" s="4">
        <v>3.16</v>
      </c>
      <c r="X184" t="s">
        <v>91</v>
      </c>
      <c r="Y184">
        <v>0.75</v>
      </c>
      <c r="AA184">
        <v>0</v>
      </c>
      <c r="BF184" s="4">
        <v>2140</v>
      </c>
      <c r="BG184" s="4"/>
      <c r="BH184" s="4">
        <v>14975</v>
      </c>
    </row>
    <row r="185" spans="6:60" hidden="1">
      <c r="F185" s="2" t="s">
        <v>302</v>
      </c>
      <c r="J185" t="s">
        <v>89</v>
      </c>
      <c r="K185" s="2" t="s">
        <v>234</v>
      </c>
      <c r="O185" s="3">
        <f t="shared" si="4"/>
        <v>5.7535999999999996</v>
      </c>
      <c r="P185" s="4">
        <v>0.61799999999999999</v>
      </c>
      <c r="Q185">
        <f t="shared" si="5"/>
        <v>0.1236</v>
      </c>
      <c r="R185" s="4">
        <v>5.63</v>
      </c>
      <c r="S185">
        <v>1</v>
      </c>
      <c r="V185">
        <v>1</v>
      </c>
      <c r="W185" s="4">
        <v>5.63</v>
      </c>
      <c r="X185" t="s">
        <v>91</v>
      </c>
      <c r="Y185">
        <v>0.75</v>
      </c>
      <c r="AA185">
        <v>0</v>
      </c>
      <c r="BF185" s="4">
        <v>2900</v>
      </c>
      <c r="BG185" s="4"/>
      <c r="BH185" s="4">
        <v>20287</v>
      </c>
    </row>
    <row r="186" spans="6:60" hidden="1">
      <c r="F186" s="2" t="s">
        <v>303</v>
      </c>
      <c r="J186" t="s">
        <v>89</v>
      </c>
      <c r="K186" s="2" t="s">
        <v>234</v>
      </c>
      <c r="O186" s="3">
        <f t="shared" si="4"/>
        <v>3.0972</v>
      </c>
      <c r="P186" s="4">
        <v>0.33600000000000002</v>
      </c>
      <c r="Q186">
        <f t="shared" si="5"/>
        <v>6.720000000000001E-2</v>
      </c>
      <c r="R186" s="4">
        <v>3.03</v>
      </c>
      <c r="S186">
        <v>1</v>
      </c>
      <c r="V186">
        <v>1</v>
      </c>
      <c r="W186" s="4">
        <v>3.03</v>
      </c>
      <c r="X186" t="s">
        <v>91</v>
      </c>
      <c r="Y186">
        <v>0.75</v>
      </c>
      <c r="AA186">
        <v>0</v>
      </c>
      <c r="BF186" s="4">
        <v>1</v>
      </c>
      <c r="BG186" s="4"/>
      <c r="BH186" s="4">
        <v>8000</v>
      </c>
    </row>
    <row r="187" spans="6:60" hidden="1">
      <c r="F187" s="2" t="s">
        <v>304</v>
      </c>
      <c r="J187" t="s">
        <v>89</v>
      </c>
      <c r="K187" s="2" t="s">
        <v>234</v>
      </c>
      <c r="O187" s="3">
        <f t="shared" si="4"/>
        <v>3.2879999999999998</v>
      </c>
      <c r="P187" s="4">
        <v>1.94</v>
      </c>
      <c r="Q187">
        <f t="shared" si="5"/>
        <v>0.38800000000000001</v>
      </c>
      <c r="R187" s="4">
        <v>2.9</v>
      </c>
      <c r="S187">
        <v>1</v>
      </c>
      <c r="V187">
        <v>1</v>
      </c>
      <c r="W187" s="4">
        <v>2.9</v>
      </c>
      <c r="X187" t="s">
        <v>91</v>
      </c>
      <c r="Y187">
        <v>0.75</v>
      </c>
      <c r="AA187">
        <v>0</v>
      </c>
      <c r="BF187" s="4">
        <v>3559.06</v>
      </c>
      <c r="BG187" s="4"/>
      <c r="BH187" s="4">
        <v>24913.41</v>
      </c>
    </row>
    <row r="188" spans="6:60" hidden="1">
      <c r="F188" s="2" t="s">
        <v>305</v>
      </c>
      <c r="J188" t="s">
        <v>89</v>
      </c>
      <c r="K188" s="2" t="s">
        <v>234</v>
      </c>
      <c r="O188" s="3">
        <f t="shared" si="4"/>
        <v>14.382</v>
      </c>
      <c r="P188" s="4">
        <v>1.61</v>
      </c>
      <c r="Q188">
        <f t="shared" si="5"/>
        <v>0.32200000000000001</v>
      </c>
      <c r="R188" s="4">
        <v>14.06</v>
      </c>
      <c r="S188">
        <v>1</v>
      </c>
      <c r="V188">
        <v>1</v>
      </c>
      <c r="W188" s="4">
        <v>14.06</v>
      </c>
      <c r="X188" t="s">
        <v>91</v>
      </c>
      <c r="Y188">
        <v>0.75</v>
      </c>
      <c r="AA188">
        <v>0</v>
      </c>
      <c r="BF188" s="4">
        <v>6540</v>
      </c>
      <c r="BG188" s="4"/>
      <c r="BH188" s="4">
        <v>45780</v>
      </c>
    </row>
    <row r="189" spans="6:60" hidden="1">
      <c r="F189" s="2" t="s">
        <v>306</v>
      </c>
      <c r="J189" t="s">
        <v>89</v>
      </c>
      <c r="K189" s="2" t="s">
        <v>234</v>
      </c>
      <c r="O189" s="3">
        <f t="shared" si="4"/>
        <v>12.282</v>
      </c>
      <c r="P189" s="4">
        <v>0.96</v>
      </c>
      <c r="Q189">
        <f t="shared" si="5"/>
        <v>0.192</v>
      </c>
      <c r="R189" s="4">
        <v>12.09</v>
      </c>
      <c r="S189">
        <v>1</v>
      </c>
      <c r="V189">
        <v>1</v>
      </c>
      <c r="W189" s="4">
        <v>12.09</v>
      </c>
      <c r="X189" t="s">
        <v>91</v>
      </c>
      <c r="Y189">
        <v>0.75</v>
      </c>
      <c r="AA189">
        <v>0</v>
      </c>
      <c r="BF189" s="4">
        <v>16350.91</v>
      </c>
      <c r="BG189" s="4"/>
      <c r="BH189" s="4">
        <v>114456.36</v>
      </c>
    </row>
    <row r="190" spans="6:60" hidden="1">
      <c r="F190" s="2" t="s">
        <v>307</v>
      </c>
      <c r="J190" t="s">
        <v>89</v>
      </c>
      <c r="K190" s="2" t="s">
        <v>234</v>
      </c>
      <c r="O190" s="3">
        <f t="shared" si="4"/>
        <v>4.9160000000000004</v>
      </c>
      <c r="P190" s="4">
        <v>1.48</v>
      </c>
      <c r="Q190">
        <f t="shared" si="5"/>
        <v>0.29599999999999999</v>
      </c>
      <c r="R190" s="4">
        <v>4.62</v>
      </c>
      <c r="S190">
        <v>1</v>
      </c>
      <c r="V190">
        <v>1</v>
      </c>
      <c r="W190" s="4">
        <v>4.62</v>
      </c>
      <c r="X190" t="s">
        <v>91</v>
      </c>
      <c r="Y190">
        <v>0.75</v>
      </c>
      <c r="AA190">
        <v>0</v>
      </c>
      <c r="BF190" s="4">
        <v>4032.07</v>
      </c>
      <c r="BG190" s="4"/>
      <c r="BH190" s="4">
        <v>28224.5</v>
      </c>
    </row>
    <row r="191" spans="6:60" hidden="1">
      <c r="F191" s="2" t="s">
        <v>308</v>
      </c>
      <c r="J191" t="s">
        <v>89</v>
      </c>
      <c r="K191" s="2" t="s">
        <v>234</v>
      </c>
      <c r="O191" s="3">
        <f t="shared" si="4"/>
        <v>4.3360000000000003</v>
      </c>
      <c r="P191" s="4">
        <v>0.69</v>
      </c>
      <c r="Q191">
        <f t="shared" si="5"/>
        <v>0.13799999999999998</v>
      </c>
      <c r="R191" s="4">
        <v>4.1980000000000004</v>
      </c>
      <c r="S191">
        <v>1</v>
      </c>
      <c r="V191">
        <v>1</v>
      </c>
      <c r="W191" s="4">
        <v>4.1980000000000004</v>
      </c>
      <c r="X191" t="s">
        <v>91</v>
      </c>
      <c r="Y191">
        <v>0.75</v>
      </c>
      <c r="AA191">
        <v>0</v>
      </c>
      <c r="BF191" s="4">
        <v>2329</v>
      </c>
      <c r="BG191" s="4"/>
      <c r="BH191" s="4">
        <v>16300</v>
      </c>
    </row>
    <row r="192" spans="6:60" hidden="1">
      <c r="F192" s="2" t="s">
        <v>309</v>
      </c>
      <c r="J192" t="s">
        <v>89</v>
      </c>
      <c r="K192" s="2" t="s">
        <v>234</v>
      </c>
      <c r="O192" s="3">
        <f t="shared" si="4"/>
        <v>2.3480000000000003</v>
      </c>
      <c r="P192" s="4">
        <v>0.74</v>
      </c>
      <c r="Q192">
        <f t="shared" si="5"/>
        <v>0.14799999999999999</v>
      </c>
      <c r="R192" s="4">
        <v>2.2000000000000002</v>
      </c>
      <c r="S192">
        <v>1</v>
      </c>
      <c r="V192">
        <v>1</v>
      </c>
      <c r="W192" s="4">
        <v>2.2000000000000002</v>
      </c>
      <c r="X192" t="s">
        <v>91</v>
      </c>
      <c r="Y192">
        <v>0.75</v>
      </c>
      <c r="AA192">
        <v>0</v>
      </c>
      <c r="BF192" s="4">
        <v>1290.6099999999999</v>
      </c>
      <c r="BG192" s="4"/>
      <c r="BH192" s="4">
        <v>9034.27</v>
      </c>
    </row>
    <row r="193" spans="6:60" hidden="1">
      <c r="F193" s="2" t="s">
        <v>310</v>
      </c>
      <c r="J193" t="s">
        <v>89</v>
      </c>
      <c r="K193" s="2" t="s">
        <v>234</v>
      </c>
      <c r="O193" s="3">
        <f t="shared" si="4"/>
        <v>2.25</v>
      </c>
      <c r="P193" s="4">
        <v>0.75</v>
      </c>
      <c r="Q193">
        <f t="shared" si="5"/>
        <v>0.15</v>
      </c>
      <c r="R193" s="4">
        <v>2.1</v>
      </c>
      <c r="S193">
        <v>1</v>
      </c>
      <c r="V193">
        <v>1</v>
      </c>
      <c r="W193" s="4">
        <v>2.1</v>
      </c>
      <c r="X193" t="s">
        <v>91</v>
      </c>
      <c r="Y193">
        <v>0.75</v>
      </c>
      <c r="AA193">
        <v>0</v>
      </c>
      <c r="BF193" s="4">
        <v>1270.8599999999999</v>
      </c>
      <c r="BG193" s="4"/>
      <c r="BH193" s="4">
        <v>8895.99</v>
      </c>
    </row>
    <row r="194" spans="6:60" hidden="1">
      <c r="F194" s="2" t="s">
        <v>311</v>
      </c>
      <c r="J194" t="s">
        <v>89</v>
      </c>
      <c r="K194" s="2" t="s">
        <v>234</v>
      </c>
      <c r="O194" s="3">
        <f t="shared" si="4"/>
        <v>4.5019999999999998</v>
      </c>
      <c r="P194" s="4">
        <v>1.26</v>
      </c>
      <c r="Q194">
        <f t="shared" si="5"/>
        <v>0.252</v>
      </c>
      <c r="R194" s="4">
        <v>4.25</v>
      </c>
      <c r="S194">
        <v>1</v>
      </c>
      <c r="V194">
        <v>1</v>
      </c>
      <c r="W194" s="4">
        <v>4.25</v>
      </c>
      <c r="X194" t="s">
        <v>91</v>
      </c>
      <c r="Y194">
        <v>0.75</v>
      </c>
      <c r="AA194">
        <v>0</v>
      </c>
      <c r="BF194" s="4">
        <v>3963.9</v>
      </c>
      <c r="BG194" s="4"/>
      <c r="BH194" s="4">
        <v>27747.3</v>
      </c>
    </row>
    <row r="195" spans="6:60" hidden="1">
      <c r="F195" s="2" t="s">
        <v>312</v>
      </c>
      <c r="J195" t="s">
        <v>89</v>
      </c>
      <c r="K195" s="2" t="s">
        <v>234</v>
      </c>
      <c r="O195" s="3">
        <f t="shared" ref="O195:O258" si="6">Q195+R195</f>
        <v>7.5259999999999998</v>
      </c>
      <c r="P195" s="4">
        <v>1.38</v>
      </c>
      <c r="Q195">
        <f t="shared" ref="Q195:Q258" si="7">P195/5</f>
        <v>0.27599999999999997</v>
      </c>
      <c r="R195" s="4">
        <v>7.25</v>
      </c>
      <c r="S195">
        <v>1</v>
      </c>
      <c r="V195">
        <v>1</v>
      </c>
      <c r="W195" s="4">
        <v>7.25</v>
      </c>
      <c r="X195" t="s">
        <v>91</v>
      </c>
      <c r="Y195">
        <v>0.75</v>
      </c>
      <c r="AA195">
        <v>0</v>
      </c>
      <c r="BF195" s="4">
        <v>5771</v>
      </c>
      <c r="BG195" s="4"/>
      <c r="BH195" s="4">
        <v>40400</v>
      </c>
    </row>
    <row r="196" spans="6:60" hidden="1">
      <c r="F196" s="2" t="s">
        <v>313</v>
      </c>
      <c r="J196" t="s">
        <v>89</v>
      </c>
      <c r="K196" s="2" t="s">
        <v>234</v>
      </c>
      <c r="O196" s="3">
        <f t="shared" si="6"/>
        <v>3.4740000000000002</v>
      </c>
      <c r="P196" s="4">
        <v>0.42</v>
      </c>
      <c r="Q196">
        <f t="shared" si="7"/>
        <v>8.3999999999999991E-2</v>
      </c>
      <c r="R196" s="4">
        <v>3.39</v>
      </c>
      <c r="S196">
        <v>1</v>
      </c>
      <c r="V196">
        <v>1</v>
      </c>
      <c r="W196" s="4">
        <v>3.39</v>
      </c>
      <c r="X196" t="s">
        <v>91</v>
      </c>
      <c r="Y196">
        <v>0.75</v>
      </c>
      <c r="AA196">
        <v>0</v>
      </c>
      <c r="BF196" s="4">
        <v>2172</v>
      </c>
      <c r="BG196" s="4"/>
      <c r="BH196" s="4">
        <v>15200</v>
      </c>
    </row>
    <row r="197" spans="6:60" hidden="1">
      <c r="F197" s="2" t="s">
        <v>314</v>
      </c>
      <c r="J197" t="s">
        <v>89</v>
      </c>
      <c r="K197" s="2" t="s">
        <v>234</v>
      </c>
      <c r="O197" s="3">
        <f t="shared" si="6"/>
        <v>1.508</v>
      </c>
      <c r="P197" s="4">
        <v>0.28999999999999998</v>
      </c>
      <c r="Q197">
        <f t="shared" si="7"/>
        <v>5.7999999999999996E-2</v>
      </c>
      <c r="R197" s="4">
        <v>1.45</v>
      </c>
      <c r="S197">
        <v>1</v>
      </c>
      <c r="V197">
        <v>1</v>
      </c>
      <c r="W197" s="4">
        <v>1.45</v>
      </c>
      <c r="X197" t="s">
        <v>91</v>
      </c>
      <c r="Y197">
        <v>0.75</v>
      </c>
      <c r="AA197">
        <v>0</v>
      </c>
      <c r="BF197" s="4">
        <v>1293</v>
      </c>
      <c r="BG197" s="4"/>
      <c r="BH197" s="4">
        <v>9051</v>
      </c>
    </row>
    <row r="198" spans="6:60" hidden="1">
      <c r="F198" s="2" t="s">
        <v>315</v>
      </c>
      <c r="J198" t="s">
        <v>89</v>
      </c>
      <c r="K198" s="2" t="s">
        <v>234</v>
      </c>
      <c r="O198" s="3">
        <f t="shared" si="6"/>
        <v>0.91600000000000004</v>
      </c>
      <c r="P198" s="4">
        <v>0.28000000000000003</v>
      </c>
      <c r="Q198">
        <f t="shared" si="7"/>
        <v>5.6000000000000008E-2</v>
      </c>
      <c r="R198" s="4">
        <v>0.86</v>
      </c>
      <c r="S198">
        <v>1</v>
      </c>
      <c r="V198">
        <v>1</v>
      </c>
      <c r="W198" s="4">
        <v>0.86</v>
      </c>
      <c r="X198" t="s">
        <v>91</v>
      </c>
      <c r="Y198">
        <v>0.75</v>
      </c>
      <c r="AA198">
        <v>0</v>
      </c>
      <c r="BF198" s="4">
        <v>540.20000000000005</v>
      </c>
      <c r="BG198" s="4"/>
      <c r="BH198" s="4">
        <v>3785</v>
      </c>
    </row>
    <row r="199" spans="6:60" hidden="1">
      <c r="F199" s="2" t="s">
        <v>316</v>
      </c>
      <c r="J199" t="s">
        <v>89</v>
      </c>
      <c r="K199" s="2" t="s">
        <v>234</v>
      </c>
      <c r="O199" s="3">
        <f t="shared" si="6"/>
        <v>0.67600000000000005</v>
      </c>
      <c r="P199" s="4">
        <v>0.13</v>
      </c>
      <c r="Q199">
        <f t="shared" si="7"/>
        <v>2.6000000000000002E-2</v>
      </c>
      <c r="R199" s="4">
        <v>0.65</v>
      </c>
      <c r="S199">
        <v>1</v>
      </c>
      <c r="V199">
        <v>1</v>
      </c>
      <c r="W199" s="4">
        <v>0.65</v>
      </c>
      <c r="X199" t="s">
        <v>91</v>
      </c>
      <c r="Y199">
        <v>0.75</v>
      </c>
      <c r="AA199">
        <v>0</v>
      </c>
      <c r="BF199" s="4">
        <v>200.75</v>
      </c>
      <c r="BG199" s="4"/>
      <c r="BH199" s="4">
        <v>1406</v>
      </c>
    </row>
    <row r="200" spans="6:60" hidden="1">
      <c r="F200" s="2" t="s">
        <v>317</v>
      </c>
      <c r="J200" t="s">
        <v>89</v>
      </c>
      <c r="K200" s="2" t="s">
        <v>234</v>
      </c>
      <c r="O200" s="3">
        <f t="shared" si="6"/>
        <v>0.89800000000000002</v>
      </c>
      <c r="P200" s="4">
        <v>0.04</v>
      </c>
      <c r="Q200">
        <f t="shared" si="7"/>
        <v>8.0000000000000002E-3</v>
      </c>
      <c r="R200" s="4">
        <v>0.89</v>
      </c>
      <c r="S200">
        <v>1</v>
      </c>
      <c r="V200">
        <v>1</v>
      </c>
      <c r="W200" s="4">
        <v>0.89</v>
      </c>
      <c r="X200" t="s">
        <v>91</v>
      </c>
      <c r="Y200">
        <v>0.75</v>
      </c>
      <c r="AA200">
        <v>0</v>
      </c>
      <c r="BF200" s="4">
        <v>266.45</v>
      </c>
      <c r="BG200" s="4"/>
      <c r="BH200" s="4">
        <v>1866</v>
      </c>
    </row>
    <row r="201" spans="6:60" hidden="1">
      <c r="F201" s="2" t="s">
        <v>318</v>
      </c>
      <c r="J201" t="s">
        <v>89</v>
      </c>
      <c r="K201" s="2" t="s">
        <v>234</v>
      </c>
      <c r="O201" s="3">
        <f t="shared" si="6"/>
        <v>0.89800000000000002</v>
      </c>
      <c r="P201" s="4">
        <v>0.04</v>
      </c>
      <c r="Q201">
        <f t="shared" si="7"/>
        <v>8.0000000000000002E-3</v>
      </c>
      <c r="R201" s="4">
        <v>0.89</v>
      </c>
      <c r="S201">
        <v>1</v>
      </c>
      <c r="V201">
        <v>1</v>
      </c>
      <c r="W201" s="4">
        <v>0.89</v>
      </c>
      <c r="X201" t="s">
        <v>91</v>
      </c>
      <c r="Y201">
        <v>0.75</v>
      </c>
      <c r="AA201">
        <v>0</v>
      </c>
      <c r="BF201" s="4">
        <v>266.45</v>
      </c>
      <c r="BG201" s="4"/>
      <c r="BH201" s="4">
        <v>1866</v>
      </c>
    </row>
    <row r="202" spans="6:60" hidden="1">
      <c r="F202" s="2" t="s">
        <v>319</v>
      </c>
      <c r="J202" t="s">
        <v>89</v>
      </c>
      <c r="K202" s="2" t="s">
        <v>234</v>
      </c>
      <c r="O202" s="3">
        <f t="shared" si="6"/>
        <v>1.8220000000000001</v>
      </c>
      <c r="P202" s="4">
        <v>0.46</v>
      </c>
      <c r="Q202">
        <f t="shared" si="7"/>
        <v>9.1999999999999998E-2</v>
      </c>
      <c r="R202" s="4">
        <v>1.73</v>
      </c>
      <c r="S202">
        <v>1</v>
      </c>
      <c r="V202">
        <v>1</v>
      </c>
      <c r="W202" s="4">
        <v>1.73</v>
      </c>
      <c r="X202" t="s">
        <v>91</v>
      </c>
      <c r="Y202">
        <v>0.75</v>
      </c>
      <c r="AA202">
        <v>0</v>
      </c>
      <c r="BF202" s="4">
        <v>613.20000000000005</v>
      </c>
      <c r="BG202" s="4"/>
      <c r="BH202" s="4">
        <v>4292.3999999999996</v>
      </c>
    </row>
    <row r="203" spans="6:60" hidden="1">
      <c r="F203" s="2" t="s">
        <v>320</v>
      </c>
      <c r="J203" t="s">
        <v>89</v>
      </c>
      <c r="K203" s="2" t="s">
        <v>234</v>
      </c>
      <c r="O203" s="3">
        <f t="shared" si="6"/>
        <v>8.0719999999999992</v>
      </c>
      <c r="P203" s="4">
        <v>3.71</v>
      </c>
      <c r="Q203">
        <f t="shared" si="7"/>
        <v>0.74199999999999999</v>
      </c>
      <c r="R203" s="4">
        <v>7.33</v>
      </c>
      <c r="S203">
        <v>1</v>
      </c>
      <c r="V203">
        <v>1</v>
      </c>
      <c r="W203" s="4">
        <v>7.33</v>
      </c>
      <c r="X203" t="s">
        <v>91</v>
      </c>
      <c r="Y203">
        <v>0.75</v>
      </c>
      <c r="AA203">
        <v>0</v>
      </c>
      <c r="BF203" s="4">
        <v>14600</v>
      </c>
      <c r="BG203" s="4"/>
      <c r="BH203" s="4">
        <v>102200</v>
      </c>
    </row>
    <row r="204" spans="6:60" hidden="1">
      <c r="F204" s="2" t="s">
        <v>321</v>
      </c>
      <c r="J204" t="s">
        <v>89</v>
      </c>
      <c r="K204" s="2" t="s">
        <v>234</v>
      </c>
      <c r="O204" s="3">
        <f t="shared" si="6"/>
        <v>0.65800000000000003</v>
      </c>
      <c r="P204" s="4">
        <v>0.14000000000000001</v>
      </c>
      <c r="Q204">
        <f t="shared" si="7"/>
        <v>2.8000000000000004E-2</v>
      </c>
      <c r="R204" s="4">
        <v>0.63</v>
      </c>
      <c r="S204">
        <v>1</v>
      </c>
      <c r="V204">
        <v>1</v>
      </c>
      <c r="W204" s="4">
        <v>0.63</v>
      </c>
      <c r="X204" t="s">
        <v>91</v>
      </c>
      <c r="Y204">
        <v>0.75</v>
      </c>
      <c r="AA204">
        <v>0</v>
      </c>
      <c r="BF204" s="4">
        <v>200.75</v>
      </c>
      <c r="BG204" s="4"/>
      <c r="BH204" s="4">
        <v>1406</v>
      </c>
    </row>
    <row r="205" spans="6:60" hidden="1">
      <c r="F205" s="2" t="s">
        <v>322</v>
      </c>
      <c r="J205" t="s">
        <v>89</v>
      </c>
      <c r="K205" s="2" t="s">
        <v>234</v>
      </c>
      <c r="O205" s="3">
        <f t="shared" si="6"/>
        <v>1.1139999999999999</v>
      </c>
      <c r="P205" s="4">
        <v>1.42</v>
      </c>
      <c r="Q205">
        <f t="shared" si="7"/>
        <v>0.28399999999999997</v>
      </c>
      <c r="R205" s="4">
        <v>0.83</v>
      </c>
      <c r="S205">
        <v>1</v>
      </c>
      <c r="V205">
        <v>1</v>
      </c>
      <c r="W205" s="4">
        <v>0.83</v>
      </c>
      <c r="X205" t="s">
        <v>91</v>
      </c>
      <c r="Y205">
        <v>0.75</v>
      </c>
      <c r="AA205">
        <v>0</v>
      </c>
      <c r="BF205" s="4">
        <v>339.45</v>
      </c>
      <c r="BG205" s="4"/>
      <c r="BH205" s="4">
        <v>2377</v>
      </c>
    </row>
    <row r="206" spans="6:60" hidden="1">
      <c r="F206" s="2" t="s">
        <v>323</v>
      </c>
      <c r="J206" t="s">
        <v>89</v>
      </c>
      <c r="K206" s="2" t="s">
        <v>234</v>
      </c>
      <c r="O206" s="3">
        <f t="shared" si="6"/>
        <v>3.7936000000000001</v>
      </c>
      <c r="P206" s="4">
        <v>0.253</v>
      </c>
      <c r="Q206">
        <f t="shared" si="7"/>
        <v>5.0599999999999999E-2</v>
      </c>
      <c r="R206" s="4">
        <v>3.7429999999999999</v>
      </c>
      <c r="S206">
        <v>1</v>
      </c>
      <c r="V206">
        <v>1</v>
      </c>
      <c r="W206" s="4">
        <v>3.7429999999999999</v>
      </c>
      <c r="X206" t="s">
        <v>91</v>
      </c>
      <c r="Y206">
        <v>0.75</v>
      </c>
      <c r="AA206">
        <v>0</v>
      </c>
      <c r="BF206" s="4">
        <v>2439</v>
      </c>
      <c r="BG206" s="4"/>
      <c r="BH206" s="4">
        <v>17073</v>
      </c>
    </row>
    <row r="207" spans="6:60" hidden="1">
      <c r="F207" s="2" t="s">
        <v>324</v>
      </c>
      <c r="J207" t="s">
        <v>89</v>
      </c>
      <c r="K207" s="2" t="s">
        <v>234</v>
      </c>
      <c r="O207" s="3">
        <f t="shared" si="6"/>
        <v>1.8220000000000001</v>
      </c>
      <c r="P207" s="4">
        <v>0.46</v>
      </c>
      <c r="Q207">
        <f t="shared" si="7"/>
        <v>9.1999999999999998E-2</v>
      </c>
      <c r="R207" s="4">
        <v>1.73</v>
      </c>
      <c r="S207">
        <v>1</v>
      </c>
      <c r="V207">
        <v>1</v>
      </c>
      <c r="W207" s="4">
        <v>1.73</v>
      </c>
      <c r="X207" t="s">
        <v>91</v>
      </c>
      <c r="Y207">
        <v>0.75</v>
      </c>
      <c r="AA207">
        <v>0</v>
      </c>
      <c r="BF207" s="4">
        <v>613.20000000000005</v>
      </c>
      <c r="BG207" s="4"/>
      <c r="BH207" s="4">
        <v>4295</v>
      </c>
    </row>
    <row r="208" spans="6:60" hidden="1">
      <c r="F208" s="2" t="s">
        <v>325</v>
      </c>
      <c r="J208" t="s">
        <v>89</v>
      </c>
      <c r="K208" s="2" t="s">
        <v>234</v>
      </c>
      <c r="O208" s="3">
        <f t="shared" si="6"/>
        <v>2.0392000000000001</v>
      </c>
      <c r="P208" s="4">
        <v>0.54600000000000004</v>
      </c>
      <c r="Q208">
        <f t="shared" si="7"/>
        <v>0.10920000000000001</v>
      </c>
      <c r="R208" s="4">
        <v>1.93</v>
      </c>
      <c r="S208">
        <v>1</v>
      </c>
      <c r="V208">
        <v>1</v>
      </c>
      <c r="W208" s="4">
        <v>1.93</v>
      </c>
      <c r="X208" t="s">
        <v>91</v>
      </c>
      <c r="Y208">
        <v>0.75</v>
      </c>
      <c r="AA208">
        <v>0</v>
      </c>
      <c r="BF208" s="4">
        <v>1697.25</v>
      </c>
      <c r="BG208" s="4"/>
      <c r="BH208" s="4">
        <v>11881</v>
      </c>
    </row>
    <row r="209" spans="6:60" hidden="1">
      <c r="F209" s="2" t="s">
        <v>326</v>
      </c>
      <c r="J209" t="s">
        <v>89</v>
      </c>
      <c r="K209" s="2" t="s">
        <v>234</v>
      </c>
      <c r="O209" s="3">
        <f t="shared" si="6"/>
        <v>1.5913999999999999</v>
      </c>
      <c r="P209" s="4">
        <v>0.55700000000000005</v>
      </c>
      <c r="Q209">
        <f t="shared" si="7"/>
        <v>0.11140000000000001</v>
      </c>
      <c r="R209" s="4">
        <v>1.48</v>
      </c>
      <c r="S209">
        <v>1</v>
      </c>
      <c r="V209">
        <v>1</v>
      </c>
      <c r="W209" s="4">
        <v>1.48</v>
      </c>
      <c r="X209" t="s">
        <v>91</v>
      </c>
      <c r="Y209">
        <v>0.75</v>
      </c>
      <c r="AA209">
        <v>0</v>
      </c>
      <c r="BF209" s="4">
        <v>1295.25</v>
      </c>
      <c r="BG209" s="4"/>
      <c r="BH209" s="4">
        <v>8815</v>
      </c>
    </row>
    <row r="210" spans="6:60" hidden="1">
      <c r="F210" s="2" t="s">
        <v>327</v>
      </c>
      <c r="J210" t="s">
        <v>89</v>
      </c>
      <c r="K210" s="2" t="s">
        <v>234</v>
      </c>
      <c r="O210" s="3">
        <f t="shared" si="6"/>
        <v>0.91600000000000004</v>
      </c>
      <c r="P210" s="4">
        <v>0.28000000000000003</v>
      </c>
      <c r="Q210">
        <f t="shared" si="7"/>
        <v>5.6000000000000008E-2</v>
      </c>
      <c r="R210" s="4">
        <v>0.86</v>
      </c>
      <c r="S210">
        <v>1</v>
      </c>
      <c r="V210">
        <v>1</v>
      </c>
      <c r="W210" s="4">
        <v>0.86</v>
      </c>
      <c r="X210" t="s">
        <v>91</v>
      </c>
      <c r="Y210">
        <v>0.75</v>
      </c>
      <c r="AA210">
        <v>0</v>
      </c>
      <c r="BF210" s="4">
        <v>1076.75</v>
      </c>
      <c r="BG210" s="4"/>
      <c r="BH210" s="4">
        <v>7538</v>
      </c>
    </row>
    <row r="211" spans="6:60" hidden="1">
      <c r="F211" s="2" t="s">
        <v>328</v>
      </c>
      <c r="J211" t="s">
        <v>89</v>
      </c>
      <c r="K211" s="2" t="s">
        <v>234</v>
      </c>
      <c r="O211" s="3">
        <f t="shared" si="6"/>
        <v>1.8220000000000001</v>
      </c>
      <c r="P211" s="4">
        <v>0.46</v>
      </c>
      <c r="Q211">
        <f t="shared" si="7"/>
        <v>9.1999999999999998E-2</v>
      </c>
      <c r="R211" s="4">
        <v>1.73</v>
      </c>
      <c r="S211">
        <v>1</v>
      </c>
      <c r="V211">
        <v>1</v>
      </c>
      <c r="W211" s="4">
        <v>1.73</v>
      </c>
      <c r="X211" t="s">
        <v>91</v>
      </c>
      <c r="Y211">
        <v>0.75</v>
      </c>
      <c r="AA211">
        <v>0</v>
      </c>
      <c r="BF211" s="4">
        <v>1222.75</v>
      </c>
      <c r="BG211" s="4"/>
      <c r="BH211" s="4">
        <v>8560</v>
      </c>
    </row>
    <row r="212" spans="6:60" hidden="1">
      <c r="F212" s="2" t="s">
        <v>329</v>
      </c>
      <c r="J212" t="s">
        <v>89</v>
      </c>
      <c r="K212" s="2" t="s">
        <v>234</v>
      </c>
      <c r="O212" s="3">
        <f t="shared" si="6"/>
        <v>0.91600000000000004</v>
      </c>
      <c r="P212" s="4">
        <v>0.28000000000000003</v>
      </c>
      <c r="Q212">
        <f t="shared" si="7"/>
        <v>5.6000000000000008E-2</v>
      </c>
      <c r="R212" s="4">
        <v>0.86</v>
      </c>
      <c r="S212">
        <v>1</v>
      </c>
      <c r="V212">
        <v>1</v>
      </c>
      <c r="W212" s="4">
        <v>0.86</v>
      </c>
      <c r="X212" t="s">
        <v>91</v>
      </c>
      <c r="Y212">
        <v>0.75</v>
      </c>
      <c r="AA212">
        <v>0</v>
      </c>
      <c r="BF212" s="4">
        <v>540.20000000000005</v>
      </c>
      <c r="BG212" s="4"/>
      <c r="BH212" s="4">
        <v>3781.4</v>
      </c>
    </row>
    <row r="213" spans="6:60" hidden="1">
      <c r="F213" s="2" t="s">
        <v>330</v>
      </c>
      <c r="J213" t="s">
        <v>89</v>
      </c>
      <c r="K213" s="2" t="s">
        <v>234</v>
      </c>
      <c r="O213" s="3">
        <f t="shared" si="6"/>
        <v>1.1599999999999999</v>
      </c>
      <c r="P213" s="5"/>
      <c r="Q213">
        <f t="shared" si="7"/>
        <v>0</v>
      </c>
      <c r="R213" s="4">
        <v>1.1599999999999999</v>
      </c>
      <c r="S213">
        <v>1</v>
      </c>
      <c r="V213">
        <v>1</v>
      </c>
      <c r="W213" s="4">
        <v>1.1599999999999999</v>
      </c>
      <c r="X213" t="s">
        <v>91</v>
      </c>
      <c r="Y213">
        <v>0.75</v>
      </c>
      <c r="AA213">
        <v>0</v>
      </c>
      <c r="BF213" s="4">
        <v>1204.5</v>
      </c>
      <c r="BG213" s="4"/>
      <c r="BH213" s="4">
        <v>8432</v>
      </c>
    </row>
    <row r="214" spans="6:60" hidden="1">
      <c r="F214" s="2" t="s">
        <v>331</v>
      </c>
      <c r="J214" t="s">
        <v>89</v>
      </c>
      <c r="K214" s="2" t="s">
        <v>234</v>
      </c>
      <c r="O214" s="3">
        <f t="shared" si="6"/>
        <v>8.452</v>
      </c>
      <c r="P214" s="4">
        <v>3.16</v>
      </c>
      <c r="Q214">
        <f t="shared" si="7"/>
        <v>0.63200000000000001</v>
      </c>
      <c r="R214" s="4">
        <v>7.82</v>
      </c>
      <c r="S214">
        <v>1</v>
      </c>
      <c r="V214">
        <v>1</v>
      </c>
      <c r="W214" s="4">
        <v>7.82</v>
      </c>
      <c r="X214" t="s">
        <v>91</v>
      </c>
      <c r="Y214">
        <v>0.75</v>
      </c>
      <c r="AA214">
        <v>0</v>
      </c>
      <c r="BF214" s="4">
        <v>14965</v>
      </c>
      <c r="BG214" s="4"/>
      <c r="BH214" s="4">
        <v>104755</v>
      </c>
    </row>
    <row r="215" spans="6:60" hidden="1">
      <c r="F215" s="2" t="s">
        <v>332</v>
      </c>
      <c r="J215" t="s">
        <v>89</v>
      </c>
      <c r="K215" s="2" t="s">
        <v>234</v>
      </c>
      <c r="O215" s="3">
        <f t="shared" si="6"/>
        <v>2.5602</v>
      </c>
      <c r="P215" s="4">
        <v>0.30099999999999999</v>
      </c>
      <c r="Q215">
        <f t="shared" si="7"/>
        <v>6.0199999999999997E-2</v>
      </c>
      <c r="R215" s="4">
        <v>2.5</v>
      </c>
      <c r="S215">
        <v>1</v>
      </c>
      <c r="V215">
        <v>1</v>
      </c>
      <c r="W215" s="4">
        <v>2.5</v>
      </c>
      <c r="X215" t="s">
        <v>91</v>
      </c>
      <c r="Y215">
        <v>0.75</v>
      </c>
      <c r="AA215">
        <v>0</v>
      </c>
      <c r="BF215" s="4">
        <v>1533</v>
      </c>
      <c r="BG215" s="4"/>
      <c r="BH215" s="4">
        <v>10731</v>
      </c>
    </row>
    <row r="216" spans="6:60" hidden="1">
      <c r="F216" s="2" t="s">
        <v>333</v>
      </c>
      <c r="J216" t="s">
        <v>89</v>
      </c>
      <c r="K216" s="2" t="s">
        <v>234</v>
      </c>
      <c r="O216" s="3">
        <f t="shared" si="6"/>
        <v>0.94920000000000004</v>
      </c>
      <c r="P216" s="4">
        <v>1.496</v>
      </c>
      <c r="Q216">
        <f t="shared" si="7"/>
        <v>0.29920000000000002</v>
      </c>
      <c r="R216" s="4">
        <v>0.65</v>
      </c>
      <c r="S216">
        <v>1</v>
      </c>
      <c r="V216">
        <v>1</v>
      </c>
      <c r="W216" s="4">
        <v>0.65</v>
      </c>
      <c r="X216" t="s">
        <v>91</v>
      </c>
      <c r="Y216">
        <v>0.75</v>
      </c>
      <c r="AA216">
        <v>0</v>
      </c>
      <c r="BF216" s="4">
        <v>1076.75</v>
      </c>
      <c r="BG216" s="4"/>
      <c r="BH216" s="4">
        <v>7540</v>
      </c>
    </row>
    <row r="217" spans="6:60" hidden="1">
      <c r="F217" s="2" t="s">
        <v>334</v>
      </c>
      <c r="J217" t="s">
        <v>89</v>
      </c>
      <c r="K217" s="2" t="s">
        <v>234</v>
      </c>
      <c r="O217" s="3">
        <f t="shared" si="6"/>
        <v>0.52</v>
      </c>
      <c r="P217" s="5"/>
      <c r="Q217">
        <f t="shared" si="7"/>
        <v>0</v>
      </c>
      <c r="R217" s="4">
        <v>0.52</v>
      </c>
      <c r="S217">
        <v>1</v>
      </c>
      <c r="V217">
        <v>1</v>
      </c>
      <c r="W217" s="4">
        <v>0.52</v>
      </c>
      <c r="X217" t="s">
        <v>91</v>
      </c>
      <c r="Y217">
        <v>0.75</v>
      </c>
      <c r="AA217">
        <v>0</v>
      </c>
      <c r="BF217" s="4">
        <v>676.25</v>
      </c>
      <c r="BG217" s="4"/>
      <c r="BH217" s="4">
        <v>4730</v>
      </c>
    </row>
    <row r="218" spans="6:60" hidden="1">
      <c r="F218" s="2" t="s">
        <v>335</v>
      </c>
      <c r="J218" t="s">
        <v>89</v>
      </c>
      <c r="K218" s="2" t="s">
        <v>234</v>
      </c>
      <c r="O218" s="3">
        <f t="shared" si="6"/>
        <v>2.1230000000000002</v>
      </c>
      <c r="P218" s="4">
        <v>0.41499999999999998</v>
      </c>
      <c r="Q218">
        <f t="shared" si="7"/>
        <v>8.299999999999999E-2</v>
      </c>
      <c r="R218" s="4">
        <v>2.04</v>
      </c>
      <c r="S218">
        <v>1</v>
      </c>
      <c r="V218">
        <v>1</v>
      </c>
      <c r="W218" s="4">
        <v>2.04</v>
      </c>
      <c r="X218" t="s">
        <v>91</v>
      </c>
      <c r="Y218">
        <v>0.75</v>
      </c>
      <c r="AA218">
        <v>0</v>
      </c>
      <c r="BF218" s="4">
        <v>1387</v>
      </c>
      <c r="BG218" s="4"/>
      <c r="BH218" s="4">
        <v>9710</v>
      </c>
    </row>
    <row r="219" spans="6:60" hidden="1">
      <c r="F219" s="2" t="s">
        <v>336</v>
      </c>
      <c r="J219" t="s">
        <v>89</v>
      </c>
      <c r="K219" s="2" t="s">
        <v>234</v>
      </c>
      <c r="O219" s="3">
        <f t="shared" si="6"/>
        <v>1.8812</v>
      </c>
      <c r="P219" s="4">
        <v>0.60599999999999998</v>
      </c>
      <c r="Q219">
        <f t="shared" si="7"/>
        <v>0.1212</v>
      </c>
      <c r="R219" s="4">
        <v>1.76</v>
      </c>
      <c r="S219">
        <v>1</v>
      </c>
      <c r="V219">
        <v>1</v>
      </c>
      <c r="W219" s="4">
        <v>1.76</v>
      </c>
      <c r="X219" t="s">
        <v>91</v>
      </c>
      <c r="Y219">
        <v>0.75</v>
      </c>
      <c r="AA219">
        <v>0</v>
      </c>
      <c r="BF219" s="4">
        <v>1514.75</v>
      </c>
      <c r="BG219" s="4"/>
      <c r="BH219" s="4">
        <v>10605</v>
      </c>
    </row>
    <row r="220" spans="6:60" hidden="1">
      <c r="F220" s="2" t="s">
        <v>337</v>
      </c>
      <c r="J220" t="s">
        <v>89</v>
      </c>
      <c r="K220" s="2" t="s">
        <v>234</v>
      </c>
      <c r="O220" s="3">
        <f t="shared" si="6"/>
        <v>2.3487999999999998</v>
      </c>
      <c r="P220" s="4">
        <v>0.69399999999999995</v>
      </c>
      <c r="Q220">
        <f t="shared" si="7"/>
        <v>0.13879999999999998</v>
      </c>
      <c r="R220" s="4">
        <v>2.21</v>
      </c>
      <c r="S220">
        <v>1</v>
      </c>
      <c r="V220">
        <v>1</v>
      </c>
      <c r="W220" s="4">
        <v>2.21</v>
      </c>
      <c r="X220" t="s">
        <v>91</v>
      </c>
      <c r="Y220">
        <v>0.75</v>
      </c>
      <c r="AA220">
        <v>0</v>
      </c>
      <c r="BF220" s="4">
        <v>1733.75</v>
      </c>
      <c r="BG220" s="4"/>
      <c r="BH220" s="4">
        <v>12140</v>
      </c>
    </row>
    <row r="221" spans="6:60" hidden="1">
      <c r="F221" s="2" t="s">
        <v>338</v>
      </c>
      <c r="J221" t="s">
        <v>89</v>
      </c>
      <c r="K221" s="2" t="s">
        <v>234</v>
      </c>
      <c r="O221" s="3">
        <f t="shared" si="6"/>
        <v>2.73</v>
      </c>
      <c r="P221" s="4">
        <v>0.3</v>
      </c>
      <c r="Q221">
        <f t="shared" si="7"/>
        <v>0.06</v>
      </c>
      <c r="R221" s="4">
        <v>2.67</v>
      </c>
      <c r="S221">
        <v>1</v>
      </c>
      <c r="V221">
        <v>1</v>
      </c>
      <c r="W221" s="4">
        <v>2.67</v>
      </c>
      <c r="X221" t="s">
        <v>91</v>
      </c>
      <c r="Y221">
        <v>0.75</v>
      </c>
      <c r="AA221">
        <v>0</v>
      </c>
      <c r="BF221" s="4">
        <v>1770</v>
      </c>
      <c r="BG221" s="4"/>
      <c r="BH221" s="4">
        <v>12390</v>
      </c>
    </row>
    <row r="222" spans="6:60" hidden="1">
      <c r="F222" s="2" t="s">
        <v>339</v>
      </c>
      <c r="J222" t="s">
        <v>89</v>
      </c>
      <c r="K222" s="2" t="s">
        <v>234</v>
      </c>
      <c r="O222" s="3">
        <f t="shared" si="6"/>
        <v>3.0920000000000001</v>
      </c>
      <c r="P222" s="4">
        <v>0.96</v>
      </c>
      <c r="Q222">
        <f t="shared" si="7"/>
        <v>0.192</v>
      </c>
      <c r="R222" s="4">
        <v>2.9</v>
      </c>
      <c r="S222">
        <v>1</v>
      </c>
      <c r="V222">
        <v>1</v>
      </c>
      <c r="W222" s="4">
        <v>2.9</v>
      </c>
      <c r="X222" t="s">
        <v>91</v>
      </c>
      <c r="Y222">
        <v>0.75</v>
      </c>
      <c r="AA222">
        <v>0</v>
      </c>
      <c r="BF222" s="4">
        <v>2950</v>
      </c>
      <c r="BG222" s="4"/>
      <c r="BH222" s="4">
        <v>20650</v>
      </c>
    </row>
    <row r="223" spans="6:60" hidden="1">
      <c r="F223" s="2" t="s">
        <v>340</v>
      </c>
      <c r="J223" t="s">
        <v>89</v>
      </c>
      <c r="K223" s="2" t="s">
        <v>234</v>
      </c>
      <c r="O223" s="3">
        <f t="shared" si="6"/>
        <v>2.6040000000000001</v>
      </c>
      <c r="P223" s="4">
        <v>1.1200000000000001</v>
      </c>
      <c r="Q223">
        <f t="shared" si="7"/>
        <v>0.22400000000000003</v>
      </c>
      <c r="R223" s="4">
        <v>2.38</v>
      </c>
      <c r="S223">
        <v>1</v>
      </c>
      <c r="V223">
        <v>1</v>
      </c>
      <c r="W223" s="4">
        <v>2.38</v>
      </c>
      <c r="X223" t="s">
        <v>91</v>
      </c>
      <c r="Y223">
        <v>0.75</v>
      </c>
      <c r="AA223">
        <v>0</v>
      </c>
      <c r="BF223" s="4">
        <v>2850</v>
      </c>
      <c r="BG223" s="4"/>
      <c r="BH223" s="4">
        <v>19950</v>
      </c>
    </row>
    <row r="224" spans="6:60" hidden="1">
      <c r="F224" s="2" t="s">
        <v>341</v>
      </c>
      <c r="J224" t="s">
        <v>89</v>
      </c>
      <c r="K224" s="2" t="s">
        <v>234</v>
      </c>
      <c r="O224" s="3">
        <f t="shared" si="6"/>
        <v>2.5419999999999998</v>
      </c>
      <c r="P224" s="4">
        <v>0.21</v>
      </c>
      <c r="Q224">
        <f t="shared" si="7"/>
        <v>4.1999999999999996E-2</v>
      </c>
      <c r="R224" s="4">
        <v>2.5</v>
      </c>
      <c r="S224">
        <v>1</v>
      </c>
      <c r="V224">
        <v>1</v>
      </c>
      <c r="W224" s="4">
        <v>2.5</v>
      </c>
      <c r="X224" t="s">
        <v>91</v>
      </c>
      <c r="Y224">
        <v>0.75</v>
      </c>
      <c r="AA224">
        <v>0</v>
      </c>
      <c r="BF224" s="4">
        <v>1700</v>
      </c>
      <c r="BG224" s="4"/>
      <c r="BH224" s="4">
        <v>11900</v>
      </c>
    </row>
    <row r="225" spans="6:60" hidden="1">
      <c r="F225" s="2" t="s">
        <v>342</v>
      </c>
      <c r="J225" t="s">
        <v>89</v>
      </c>
      <c r="K225" s="2" t="s">
        <v>234</v>
      </c>
      <c r="O225" s="3">
        <f t="shared" si="6"/>
        <v>1.4766000000000001</v>
      </c>
      <c r="P225" s="4">
        <v>0.53300000000000003</v>
      </c>
      <c r="Q225">
        <f t="shared" si="7"/>
        <v>0.1066</v>
      </c>
      <c r="R225" s="4">
        <v>1.37</v>
      </c>
      <c r="S225">
        <v>1</v>
      </c>
      <c r="V225">
        <v>1</v>
      </c>
      <c r="W225" s="4">
        <v>1.37</v>
      </c>
      <c r="X225" t="s">
        <v>91</v>
      </c>
      <c r="Y225">
        <v>0.75</v>
      </c>
      <c r="AA225">
        <v>0</v>
      </c>
      <c r="BF225" s="4">
        <v>1368.75</v>
      </c>
      <c r="BG225" s="4"/>
      <c r="BH225" s="4">
        <v>9585</v>
      </c>
    </row>
    <row r="226" spans="6:60" hidden="1">
      <c r="F226" s="2" t="s">
        <v>343</v>
      </c>
      <c r="J226" t="s">
        <v>89</v>
      </c>
      <c r="K226" s="2" t="s">
        <v>234</v>
      </c>
      <c r="O226" s="3">
        <f t="shared" si="6"/>
        <v>2</v>
      </c>
      <c r="P226" s="4">
        <v>0.3</v>
      </c>
      <c r="Q226">
        <f t="shared" si="7"/>
        <v>0.06</v>
      </c>
      <c r="R226" s="4">
        <v>1.94</v>
      </c>
      <c r="S226">
        <v>1</v>
      </c>
      <c r="V226">
        <v>1</v>
      </c>
      <c r="W226" s="4">
        <v>1.94</v>
      </c>
      <c r="X226" t="s">
        <v>91</v>
      </c>
      <c r="Y226">
        <v>0.75</v>
      </c>
      <c r="AA226">
        <v>0</v>
      </c>
      <c r="BF226" s="4">
        <v>1204.5</v>
      </c>
      <c r="BG226" s="4"/>
      <c r="BH226" s="4">
        <v>8435</v>
      </c>
    </row>
    <row r="227" spans="6:60" hidden="1">
      <c r="F227" s="2" t="s">
        <v>344</v>
      </c>
      <c r="J227" t="s">
        <v>89</v>
      </c>
      <c r="K227" s="2" t="s">
        <v>234</v>
      </c>
      <c r="O227" s="3">
        <f t="shared" si="6"/>
        <v>6.298</v>
      </c>
      <c r="P227" s="4">
        <v>2.09</v>
      </c>
      <c r="Q227">
        <f t="shared" si="7"/>
        <v>0.41799999999999998</v>
      </c>
      <c r="R227" s="4">
        <v>5.88</v>
      </c>
      <c r="S227">
        <v>1</v>
      </c>
      <c r="V227">
        <v>1</v>
      </c>
      <c r="W227" s="4">
        <v>5.88</v>
      </c>
      <c r="X227" t="s">
        <v>91</v>
      </c>
      <c r="Y227">
        <v>0.75</v>
      </c>
      <c r="AA227">
        <v>0</v>
      </c>
      <c r="BF227" s="4">
        <v>9125</v>
      </c>
      <c r="BG227" s="4"/>
      <c r="BH227" s="4">
        <v>63900</v>
      </c>
    </row>
    <row r="228" spans="6:60" hidden="1">
      <c r="F228" s="2" t="s">
        <v>345</v>
      </c>
      <c r="J228" t="s">
        <v>89</v>
      </c>
      <c r="K228" s="2" t="s">
        <v>346</v>
      </c>
      <c r="O228" s="3">
        <f t="shared" si="6"/>
        <v>23.578000000000003</v>
      </c>
      <c r="P228" s="4">
        <v>3.29</v>
      </c>
      <c r="Q228">
        <f t="shared" si="7"/>
        <v>0.65800000000000003</v>
      </c>
      <c r="R228" s="4">
        <v>22.92</v>
      </c>
      <c r="S228">
        <v>1</v>
      </c>
      <c r="V228">
        <v>1</v>
      </c>
      <c r="W228" s="4">
        <v>22.92</v>
      </c>
      <c r="X228" t="s">
        <v>91</v>
      </c>
      <c r="Y228">
        <v>0.75</v>
      </c>
      <c r="AA228">
        <v>0</v>
      </c>
      <c r="BF228" s="4">
        <v>12667</v>
      </c>
      <c r="BG228" s="4"/>
      <c r="BH228" s="4">
        <v>88600</v>
      </c>
    </row>
    <row r="229" spans="6:60" hidden="1">
      <c r="F229" s="2" t="s">
        <v>347</v>
      </c>
      <c r="J229" t="s">
        <v>89</v>
      </c>
      <c r="K229" s="2" t="s">
        <v>346</v>
      </c>
      <c r="O229" s="3">
        <f t="shared" si="6"/>
        <v>4.8619999999999992</v>
      </c>
      <c r="P229" s="4">
        <v>0.06</v>
      </c>
      <c r="Q229">
        <f t="shared" si="7"/>
        <v>1.2E-2</v>
      </c>
      <c r="R229" s="4">
        <v>4.8499999999999996</v>
      </c>
      <c r="S229">
        <v>1</v>
      </c>
      <c r="V229">
        <v>1</v>
      </c>
      <c r="W229" s="4">
        <v>4.8499999999999996</v>
      </c>
      <c r="X229" t="s">
        <v>91</v>
      </c>
      <c r="Y229">
        <v>0.75</v>
      </c>
      <c r="AA229">
        <v>0</v>
      </c>
      <c r="BF229" s="4">
        <v>1953</v>
      </c>
      <c r="BG229" s="4"/>
      <c r="BH229" s="4">
        <v>13670</v>
      </c>
    </row>
    <row r="230" spans="6:60" hidden="1">
      <c r="F230" s="2" t="s">
        <v>348</v>
      </c>
      <c r="J230" t="s">
        <v>89</v>
      </c>
      <c r="K230" s="2" t="s">
        <v>346</v>
      </c>
      <c r="O230" s="3">
        <f t="shared" si="6"/>
        <v>2.4459999999999997</v>
      </c>
      <c r="P230" s="4">
        <v>0.13</v>
      </c>
      <c r="Q230">
        <f t="shared" si="7"/>
        <v>2.6000000000000002E-2</v>
      </c>
      <c r="R230" s="4">
        <v>2.42</v>
      </c>
      <c r="S230">
        <v>1</v>
      </c>
      <c r="V230">
        <v>1</v>
      </c>
      <c r="W230" s="4">
        <v>2.42</v>
      </c>
      <c r="X230" t="s">
        <v>91</v>
      </c>
      <c r="Y230">
        <v>0.75</v>
      </c>
      <c r="AA230">
        <v>0</v>
      </c>
      <c r="BF230" s="4">
        <v>1381</v>
      </c>
      <c r="BG230" s="4"/>
      <c r="BH230" s="4">
        <v>9667</v>
      </c>
    </row>
    <row r="231" spans="6:60" hidden="1">
      <c r="F231" s="2" t="s">
        <v>349</v>
      </c>
      <c r="J231" t="s">
        <v>89</v>
      </c>
      <c r="K231" s="2" t="s">
        <v>346</v>
      </c>
      <c r="O231" s="3">
        <f t="shared" si="6"/>
        <v>18.45</v>
      </c>
      <c r="P231" s="4">
        <v>4.5</v>
      </c>
      <c r="Q231">
        <f t="shared" si="7"/>
        <v>0.9</v>
      </c>
      <c r="R231" s="4">
        <v>17.55</v>
      </c>
      <c r="S231">
        <v>1</v>
      </c>
      <c r="V231">
        <v>1</v>
      </c>
      <c r="W231" s="4">
        <v>17.55</v>
      </c>
      <c r="X231" t="s">
        <v>91</v>
      </c>
      <c r="Y231">
        <v>0.75</v>
      </c>
      <c r="AA231">
        <v>0</v>
      </c>
      <c r="BF231" s="4">
        <v>15330</v>
      </c>
      <c r="BG231" s="4"/>
      <c r="BH231" s="4">
        <v>107310</v>
      </c>
    </row>
    <row r="232" spans="6:60" hidden="1">
      <c r="F232" s="2" t="s">
        <v>350</v>
      </c>
      <c r="J232" t="s">
        <v>89</v>
      </c>
      <c r="K232" s="2" t="s">
        <v>346</v>
      </c>
      <c r="O232" s="3">
        <f t="shared" si="6"/>
        <v>3.3039999999999998</v>
      </c>
      <c r="P232" s="4">
        <v>0.77</v>
      </c>
      <c r="Q232">
        <f t="shared" si="7"/>
        <v>0.154</v>
      </c>
      <c r="R232" s="4">
        <v>3.15</v>
      </c>
      <c r="S232">
        <v>1</v>
      </c>
      <c r="V232">
        <v>1</v>
      </c>
      <c r="W232" s="4">
        <v>3.15</v>
      </c>
      <c r="X232" t="s">
        <v>91</v>
      </c>
      <c r="Y232">
        <v>0.75</v>
      </c>
      <c r="AA232">
        <v>0</v>
      </c>
      <c r="BF232" s="4">
        <v>3073.3</v>
      </c>
      <c r="BG232" s="4"/>
      <c r="BH232" s="4">
        <v>21515</v>
      </c>
    </row>
    <row r="233" spans="6:60" hidden="1">
      <c r="F233" s="2" t="s">
        <v>351</v>
      </c>
      <c r="J233" t="s">
        <v>89</v>
      </c>
      <c r="K233" s="2" t="s">
        <v>346</v>
      </c>
      <c r="O233" s="3">
        <f t="shared" si="6"/>
        <v>4.6659999999999995</v>
      </c>
      <c r="P233" s="4">
        <v>0.98</v>
      </c>
      <c r="Q233">
        <f t="shared" si="7"/>
        <v>0.19600000000000001</v>
      </c>
      <c r="R233" s="4">
        <v>4.47</v>
      </c>
      <c r="S233">
        <v>1</v>
      </c>
      <c r="V233">
        <v>1</v>
      </c>
      <c r="W233" s="4">
        <v>4.47</v>
      </c>
      <c r="X233" t="s">
        <v>91</v>
      </c>
      <c r="Y233">
        <v>0.75</v>
      </c>
      <c r="AA233">
        <v>0</v>
      </c>
      <c r="BF233" s="4">
        <v>3832.5</v>
      </c>
      <c r="BG233" s="4"/>
      <c r="BH233" s="4">
        <v>26830</v>
      </c>
    </row>
    <row r="234" spans="6:60" hidden="1">
      <c r="F234" s="2" t="s">
        <v>352</v>
      </c>
      <c r="J234" t="s">
        <v>89</v>
      </c>
      <c r="K234" s="2" t="s">
        <v>346</v>
      </c>
      <c r="O234" s="3">
        <f t="shared" si="6"/>
        <v>3.5146000000000002</v>
      </c>
      <c r="P234" s="4">
        <v>0.72299999999999998</v>
      </c>
      <c r="Q234">
        <f t="shared" si="7"/>
        <v>0.14460000000000001</v>
      </c>
      <c r="R234" s="4">
        <v>3.37</v>
      </c>
      <c r="S234">
        <v>1</v>
      </c>
      <c r="V234">
        <v>1</v>
      </c>
      <c r="W234" s="4">
        <v>3.37</v>
      </c>
      <c r="X234" t="s">
        <v>91</v>
      </c>
      <c r="Y234">
        <v>0.75</v>
      </c>
      <c r="AA234">
        <v>0</v>
      </c>
      <c r="BF234" s="4">
        <v>3011.25</v>
      </c>
      <c r="BG234" s="4"/>
      <c r="BH234" s="4">
        <v>21080</v>
      </c>
    </row>
    <row r="235" spans="6:60" hidden="1">
      <c r="F235" s="2" t="s">
        <v>353</v>
      </c>
      <c r="J235" t="s">
        <v>89</v>
      </c>
      <c r="K235" s="2" t="s">
        <v>346</v>
      </c>
      <c r="O235" s="3">
        <f t="shared" si="6"/>
        <v>4.5978000000000003</v>
      </c>
      <c r="P235" s="4">
        <v>0.13900000000000001</v>
      </c>
      <c r="Q235">
        <f t="shared" si="7"/>
        <v>2.7800000000000002E-2</v>
      </c>
      <c r="R235" s="4">
        <v>4.57</v>
      </c>
      <c r="S235">
        <v>1</v>
      </c>
      <c r="V235">
        <v>1</v>
      </c>
      <c r="W235" s="4">
        <v>4.57</v>
      </c>
      <c r="X235" t="s">
        <v>91</v>
      </c>
      <c r="Y235">
        <v>0.75</v>
      </c>
      <c r="AA235">
        <v>0</v>
      </c>
      <c r="BF235" s="4">
        <v>2744.8</v>
      </c>
      <c r="BG235" s="4"/>
      <c r="BH235" s="4">
        <v>19215</v>
      </c>
    </row>
    <row r="236" spans="6:60" hidden="1">
      <c r="F236" s="2" t="s">
        <v>354</v>
      </c>
      <c r="J236" t="s">
        <v>89</v>
      </c>
      <c r="K236" s="2" t="s">
        <v>346</v>
      </c>
      <c r="O236" s="3">
        <f t="shared" si="6"/>
        <v>3.3039999999999998</v>
      </c>
      <c r="P236" s="4">
        <v>0.77</v>
      </c>
      <c r="Q236">
        <f t="shared" si="7"/>
        <v>0.154</v>
      </c>
      <c r="R236" s="4">
        <v>3.15</v>
      </c>
      <c r="S236">
        <v>1</v>
      </c>
      <c r="V236">
        <v>1</v>
      </c>
      <c r="W236" s="4">
        <v>3.15</v>
      </c>
      <c r="X236" t="s">
        <v>91</v>
      </c>
      <c r="Y236">
        <v>0.75</v>
      </c>
      <c r="AA236">
        <v>0</v>
      </c>
      <c r="BF236" s="4">
        <v>1536.65</v>
      </c>
      <c r="BG236" s="4"/>
      <c r="BH236" s="4">
        <v>10756.55</v>
      </c>
    </row>
    <row r="237" spans="6:60" hidden="1">
      <c r="F237" s="2" t="s">
        <v>355</v>
      </c>
      <c r="J237" t="s">
        <v>89</v>
      </c>
      <c r="K237" s="2" t="s">
        <v>346</v>
      </c>
      <c r="O237" s="3">
        <f t="shared" si="6"/>
        <v>4.6659999999999995</v>
      </c>
      <c r="P237" s="4">
        <v>0.98</v>
      </c>
      <c r="Q237">
        <f t="shared" si="7"/>
        <v>0.19600000000000001</v>
      </c>
      <c r="R237" s="4">
        <v>4.47</v>
      </c>
      <c r="S237">
        <v>1</v>
      </c>
      <c r="V237">
        <v>1</v>
      </c>
      <c r="W237" s="4">
        <v>4.47</v>
      </c>
      <c r="X237" t="s">
        <v>91</v>
      </c>
      <c r="Y237">
        <v>0.75</v>
      </c>
      <c r="AA237">
        <v>0</v>
      </c>
      <c r="BF237" s="4">
        <v>1916.25</v>
      </c>
      <c r="BG237" s="4"/>
      <c r="BH237" s="4">
        <v>13413.75</v>
      </c>
    </row>
    <row r="238" spans="6:60" hidden="1">
      <c r="F238" s="2" t="s">
        <v>356</v>
      </c>
      <c r="J238" t="s">
        <v>89</v>
      </c>
      <c r="K238" s="2" t="s">
        <v>346</v>
      </c>
      <c r="O238" s="3">
        <f t="shared" si="6"/>
        <v>2.27</v>
      </c>
      <c r="P238" s="5"/>
      <c r="Q238">
        <f t="shared" si="7"/>
        <v>0</v>
      </c>
      <c r="R238" s="4">
        <v>2.27</v>
      </c>
      <c r="S238">
        <v>1</v>
      </c>
      <c r="V238">
        <v>1</v>
      </c>
      <c r="W238" s="4">
        <v>2.27</v>
      </c>
      <c r="X238" t="s">
        <v>91</v>
      </c>
      <c r="Y238">
        <v>0.75</v>
      </c>
      <c r="AA238">
        <v>0</v>
      </c>
      <c r="BF238" s="4">
        <v>1200</v>
      </c>
      <c r="BG238" s="4"/>
      <c r="BH238" s="4">
        <v>8400</v>
      </c>
    </row>
    <row r="239" spans="6:60" hidden="1">
      <c r="F239" s="2" t="s">
        <v>357</v>
      </c>
      <c r="J239" t="s">
        <v>89</v>
      </c>
      <c r="K239" s="2" t="s">
        <v>346</v>
      </c>
      <c r="O239" s="3">
        <f t="shared" si="6"/>
        <v>3.69</v>
      </c>
      <c r="P239" s="5"/>
      <c r="Q239">
        <f t="shared" si="7"/>
        <v>0</v>
      </c>
      <c r="R239" s="4">
        <v>3.69</v>
      </c>
      <c r="S239">
        <v>1</v>
      </c>
      <c r="V239">
        <v>1</v>
      </c>
      <c r="W239" s="4">
        <v>3.69</v>
      </c>
      <c r="X239" t="s">
        <v>91</v>
      </c>
      <c r="Y239">
        <v>0.75</v>
      </c>
      <c r="AA239">
        <v>0</v>
      </c>
      <c r="BF239" s="4">
        <v>2900</v>
      </c>
      <c r="BG239" s="4"/>
      <c r="BH239" s="4">
        <v>20300</v>
      </c>
    </row>
    <row r="240" spans="6:60" hidden="1">
      <c r="F240" s="2" t="s">
        <v>358</v>
      </c>
      <c r="J240" t="s">
        <v>89</v>
      </c>
      <c r="K240" s="2" t="s">
        <v>346</v>
      </c>
      <c r="O240" s="3">
        <f t="shared" si="6"/>
        <v>4.1370000000000005</v>
      </c>
      <c r="P240" s="4">
        <v>0.33500000000000002</v>
      </c>
      <c r="Q240">
        <f t="shared" si="7"/>
        <v>6.7000000000000004E-2</v>
      </c>
      <c r="R240" s="4">
        <v>4.07</v>
      </c>
      <c r="S240">
        <v>1</v>
      </c>
      <c r="V240">
        <v>1</v>
      </c>
      <c r="W240" s="4">
        <v>4.07</v>
      </c>
      <c r="X240" t="s">
        <v>91</v>
      </c>
      <c r="Y240">
        <v>0.75</v>
      </c>
      <c r="AA240">
        <v>0</v>
      </c>
      <c r="BF240" s="4">
        <v>3164.55</v>
      </c>
      <c r="BG240" s="4"/>
      <c r="BH240" s="4">
        <v>22155</v>
      </c>
    </row>
    <row r="241" spans="6:60" hidden="1">
      <c r="F241" s="2" t="s">
        <v>359</v>
      </c>
      <c r="J241" t="s">
        <v>89</v>
      </c>
      <c r="K241" s="2" t="s">
        <v>346</v>
      </c>
      <c r="O241" s="3">
        <f t="shared" si="6"/>
        <v>2.5100000000000002</v>
      </c>
      <c r="P241" s="4">
        <v>0.4</v>
      </c>
      <c r="Q241">
        <f t="shared" si="7"/>
        <v>0.08</v>
      </c>
      <c r="R241" s="4">
        <v>2.4300000000000002</v>
      </c>
      <c r="S241">
        <v>1</v>
      </c>
      <c r="V241">
        <v>1</v>
      </c>
      <c r="W241" s="4">
        <v>2.4300000000000002</v>
      </c>
      <c r="X241" t="s">
        <v>91</v>
      </c>
      <c r="Y241">
        <v>0.75</v>
      </c>
      <c r="AA241">
        <v>0</v>
      </c>
      <c r="BF241" s="4">
        <v>1109</v>
      </c>
      <c r="BG241" s="4"/>
      <c r="BH241" s="4">
        <v>9000</v>
      </c>
    </row>
    <row r="242" spans="6:60" hidden="1">
      <c r="F242" s="2" t="s">
        <v>360</v>
      </c>
      <c r="J242" t="s">
        <v>89</v>
      </c>
      <c r="K242" s="2" t="s">
        <v>346</v>
      </c>
      <c r="O242" s="3">
        <f t="shared" si="6"/>
        <v>2.9220000000000002</v>
      </c>
      <c r="P242" s="4">
        <v>0.91</v>
      </c>
      <c r="Q242">
        <f t="shared" si="7"/>
        <v>0.182</v>
      </c>
      <c r="R242" s="4">
        <v>2.74</v>
      </c>
      <c r="S242">
        <v>1</v>
      </c>
      <c r="V242">
        <v>1</v>
      </c>
      <c r="W242" s="4">
        <v>2.74</v>
      </c>
      <c r="X242" t="s">
        <v>91</v>
      </c>
      <c r="Y242">
        <v>0.75</v>
      </c>
      <c r="AA242">
        <v>0</v>
      </c>
      <c r="BF242" s="4">
        <v>1630</v>
      </c>
      <c r="BG242" s="4"/>
      <c r="BH242" s="4">
        <v>10000</v>
      </c>
    </row>
    <row r="243" spans="6:60" hidden="1">
      <c r="F243" s="2" t="s">
        <v>361</v>
      </c>
      <c r="J243" t="s">
        <v>89</v>
      </c>
      <c r="K243" s="2" t="s">
        <v>346</v>
      </c>
      <c r="O243" s="3">
        <f t="shared" si="6"/>
        <v>2.7520000000000002</v>
      </c>
      <c r="P243" s="4">
        <v>0.66</v>
      </c>
      <c r="Q243">
        <f t="shared" si="7"/>
        <v>0.13200000000000001</v>
      </c>
      <c r="R243" s="4">
        <v>2.62</v>
      </c>
      <c r="S243">
        <v>1</v>
      </c>
      <c r="V243">
        <v>1</v>
      </c>
      <c r="W243" s="4">
        <v>2.62</v>
      </c>
      <c r="X243" t="s">
        <v>91</v>
      </c>
      <c r="Y243">
        <v>0.75</v>
      </c>
      <c r="AA243">
        <v>0</v>
      </c>
      <c r="BF243" s="4">
        <v>1367</v>
      </c>
      <c r="BG243" s="4"/>
      <c r="BH243" s="4">
        <v>9500</v>
      </c>
    </row>
    <row r="244" spans="6:60" hidden="1">
      <c r="F244" s="2" t="s">
        <v>362</v>
      </c>
      <c r="J244" t="s">
        <v>89</v>
      </c>
      <c r="K244" s="2" t="s">
        <v>346</v>
      </c>
      <c r="O244" s="3">
        <f t="shared" si="6"/>
        <v>2.3260000000000001</v>
      </c>
      <c r="P244" s="4">
        <v>0.43</v>
      </c>
      <c r="Q244">
        <f t="shared" si="7"/>
        <v>8.5999999999999993E-2</v>
      </c>
      <c r="R244" s="4">
        <v>2.2400000000000002</v>
      </c>
      <c r="S244">
        <v>1</v>
      </c>
      <c r="V244">
        <v>1</v>
      </c>
      <c r="W244" s="4">
        <v>2.2400000000000002</v>
      </c>
      <c r="X244" t="s">
        <v>91</v>
      </c>
      <c r="Y244">
        <v>0.75</v>
      </c>
      <c r="AA244">
        <v>0</v>
      </c>
      <c r="BF244" s="4">
        <v>1091</v>
      </c>
      <c r="BG244" s="4"/>
      <c r="BH244" s="4">
        <v>9000</v>
      </c>
    </row>
    <row r="245" spans="6:60" hidden="1">
      <c r="F245" s="2" t="s">
        <v>363</v>
      </c>
      <c r="J245" t="s">
        <v>89</v>
      </c>
      <c r="K245" s="2" t="s">
        <v>346</v>
      </c>
      <c r="O245" s="3">
        <f t="shared" si="6"/>
        <v>3.665</v>
      </c>
      <c r="P245" s="4">
        <v>0.42</v>
      </c>
      <c r="Q245">
        <f t="shared" si="7"/>
        <v>8.3999999999999991E-2</v>
      </c>
      <c r="R245" s="4">
        <v>3.581</v>
      </c>
      <c r="S245">
        <v>1</v>
      </c>
      <c r="V245">
        <v>1</v>
      </c>
      <c r="W245" s="4">
        <v>3.581</v>
      </c>
      <c r="X245" t="s">
        <v>91</v>
      </c>
      <c r="Y245">
        <v>0.75</v>
      </c>
      <c r="AA245">
        <v>0</v>
      </c>
      <c r="BF245" s="4">
        <v>1815.36</v>
      </c>
      <c r="BG245" s="4"/>
      <c r="BH245" s="4">
        <v>12707.53</v>
      </c>
    </row>
    <row r="246" spans="6:60" hidden="1">
      <c r="F246" s="2" t="s">
        <v>364</v>
      </c>
      <c r="J246" t="s">
        <v>89</v>
      </c>
      <c r="K246" s="2" t="s">
        <v>346</v>
      </c>
      <c r="O246" s="3">
        <f t="shared" si="6"/>
        <v>3.9539999999999997</v>
      </c>
      <c r="P246" s="4">
        <v>0.27</v>
      </c>
      <c r="Q246">
        <f t="shared" si="7"/>
        <v>5.4000000000000006E-2</v>
      </c>
      <c r="R246" s="4">
        <v>3.9</v>
      </c>
      <c r="S246">
        <v>1</v>
      </c>
      <c r="V246">
        <v>1</v>
      </c>
      <c r="W246" s="4">
        <v>3.9</v>
      </c>
      <c r="X246" t="s">
        <v>91</v>
      </c>
      <c r="Y246">
        <v>0.75</v>
      </c>
      <c r="AA246">
        <v>0</v>
      </c>
      <c r="BF246" s="4">
        <v>1620.97</v>
      </c>
      <c r="BG246" s="4"/>
      <c r="BH246" s="4">
        <v>11346.78</v>
      </c>
    </row>
    <row r="247" spans="6:60" hidden="1">
      <c r="F247" s="2" t="s">
        <v>365</v>
      </c>
      <c r="J247" t="s">
        <v>89</v>
      </c>
      <c r="K247" s="2" t="s">
        <v>346</v>
      </c>
      <c r="O247" s="3">
        <f t="shared" si="6"/>
        <v>4.1599999999999993</v>
      </c>
      <c r="P247" s="4">
        <v>0.3</v>
      </c>
      <c r="Q247">
        <f t="shared" si="7"/>
        <v>0.06</v>
      </c>
      <c r="R247" s="4">
        <v>4.0999999999999996</v>
      </c>
      <c r="S247">
        <v>1</v>
      </c>
      <c r="V247">
        <v>1</v>
      </c>
      <c r="W247" s="4">
        <v>4.0999999999999996</v>
      </c>
      <c r="X247" t="s">
        <v>91</v>
      </c>
      <c r="Y247">
        <v>0.75</v>
      </c>
      <c r="AA247">
        <v>0</v>
      </c>
      <c r="BF247" s="4">
        <v>1717.3</v>
      </c>
      <c r="BG247" s="4"/>
      <c r="BH247" s="4">
        <v>12021.08</v>
      </c>
    </row>
    <row r="248" spans="6:60" hidden="1">
      <c r="F248" s="2" t="s">
        <v>366</v>
      </c>
      <c r="J248" t="s">
        <v>89</v>
      </c>
      <c r="K248" s="2" t="s">
        <v>346</v>
      </c>
      <c r="O248" s="3">
        <f t="shared" si="6"/>
        <v>2.714</v>
      </c>
      <c r="P248" s="4">
        <v>0.56999999999999995</v>
      </c>
      <c r="Q248">
        <f t="shared" si="7"/>
        <v>0.11399999999999999</v>
      </c>
      <c r="R248" s="4">
        <v>2.6</v>
      </c>
      <c r="S248">
        <v>1</v>
      </c>
      <c r="V248">
        <v>1</v>
      </c>
      <c r="W248" s="4">
        <v>2.6</v>
      </c>
      <c r="X248" t="s">
        <v>91</v>
      </c>
      <c r="Y248">
        <v>0.75</v>
      </c>
      <c r="AA248">
        <v>0</v>
      </c>
      <c r="BF248" s="4">
        <v>1282</v>
      </c>
      <c r="BG248" s="4"/>
      <c r="BH248" s="4">
        <v>7600</v>
      </c>
    </row>
    <row r="249" spans="6:60" hidden="1">
      <c r="F249" s="2" t="s">
        <v>367</v>
      </c>
      <c r="J249" t="s">
        <v>89</v>
      </c>
      <c r="K249" s="2" t="s">
        <v>346</v>
      </c>
      <c r="O249" s="3">
        <f t="shared" si="6"/>
        <v>2.3919999999999999</v>
      </c>
      <c r="P249" s="4">
        <v>0.46</v>
      </c>
      <c r="Q249">
        <f t="shared" si="7"/>
        <v>9.1999999999999998E-2</v>
      </c>
      <c r="R249" s="4">
        <v>2.2999999999999998</v>
      </c>
      <c r="S249">
        <v>1</v>
      </c>
      <c r="V249">
        <v>1</v>
      </c>
      <c r="W249" s="4">
        <v>2.2999999999999998</v>
      </c>
      <c r="X249" t="s">
        <v>91</v>
      </c>
      <c r="Y249">
        <v>0.75</v>
      </c>
      <c r="AA249">
        <v>0</v>
      </c>
      <c r="BF249" s="4">
        <v>1141</v>
      </c>
      <c r="BG249" s="4"/>
      <c r="BH249" s="4">
        <v>6800</v>
      </c>
    </row>
    <row r="250" spans="6:60" hidden="1">
      <c r="F250" s="2" t="s">
        <v>368</v>
      </c>
      <c r="J250" t="s">
        <v>89</v>
      </c>
      <c r="K250" s="2" t="s">
        <v>346</v>
      </c>
      <c r="O250" s="3">
        <f t="shared" si="6"/>
        <v>3.8639999999999999</v>
      </c>
      <c r="P250" s="4">
        <v>0.32</v>
      </c>
      <c r="Q250">
        <f t="shared" si="7"/>
        <v>6.4000000000000001E-2</v>
      </c>
      <c r="R250" s="4">
        <v>3.8</v>
      </c>
      <c r="S250">
        <v>1</v>
      </c>
      <c r="V250">
        <v>1</v>
      </c>
      <c r="W250" s="4">
        <v>3.8</v>
      </c>
      <c r="X250" t="s">
        <v>91</v>
      </c>
      <c r="Y250">
        <v>0.75</v>
      </c>
      <c r="AA250">
        <v>0</v>
      </c>
      <c r="BF250" s="4">
        <v>1319</v>
      </c>
      <c r="BG250" s="4"/>
      <c r="BH250" s="4">
        <v>7900</v>
      </c>
    </row>
    <row r="251" spans="6:60" hidden="1">
      <c r="F251" s="2" t="s">
        <v>369</v>
      </c>
      <c r="J251" t="s">
        <v>89</v>
      </c>
      <c r="K251" s="2" t="s">
        <v>346</v>
      </c>
      <c r="O251" s="3">
        <f t="shared" si="6"/>
        <v>2.198</v>
      </c>
      <c r="P251" s="4">
        <v>0.19</v>
      </c>
      <c r="Q251">
        <f t="shared" si="7"/>
        <v>3.7999999999999999E-2</v>
      </c>
      <c r="R251" s="4">
        <v>2.16</v>
      </c>
      <c r="S251">
        <v>1</v>
      </c>
      <c r="V251">
        <v>1</v>
      </c>
      <c r="W251" s="4">
        <v>2.16</v>
      </c>
      <c r="X251" t="s">
        <v>91</v>
      </c>
      <c r="Y251">
        <v>0.75</v>
      </c>
      <c r="AA251">
        <v>0</v>
      </c>
      <c r="BF251" s="4">
        <v>1163</v>
      </c>
      <c r="BG251" s="4"/>
      <c r="BH251" s="4">
        <v>8141</v>
      </c>
    </row>
    <row r="252" spans="6:60" hidden="1">
      <c r="F252" s="2" t="s">
        <v>370</v>
      </c>
      <c r="J252" t="s">
        <v>89</v>
      </c>
      <c r="K252" s="2" t="s">
        <v>346</v>
      </c>
      <c r="O252" s="3">
        <f t="shared" si="6"/>
        <v>4.0179999999999998</v>
      </c>
      <c r="P252" s="4">
        <v>0.28999999999999998</v>
      </c>
      <c r="Q252">
        <f t="shared" si="7"/>
        <v>5.7999999999999996E-2</v>
      </c>
      <c r="R252" s="4">
        <v>3.96</v>
      </c>
      <c r="S252">
        <v>1</v>
      </c>
      <c r="V252">
        <v>1</v>
      </c>
      <c r="W252" s="4">
        <v>3.96</v>
      </c>
      <c r="X252" t="s">
        <v>91</v>
      </c>
      <c r="Y252">
        <v>0.75</v>
      </c>
      <c r="AA252">
        <v>0</v>
      </c>
      <c r="BF252" s="4">
        <v>1935</v>
      </c>
      <c r="BG252" s="4"/>
      <c r="BH252" s="4">
        <v>13500</v>
      </c>
    </row>
    <row r="253" spans="6:60" hidden="1">
      <c r="F253" s="2" t="s">
        <v>371</v>
      </c>
      <c r="J253" t="s">
        <v>89</v>
      </c>
      <c r="K253" s="2" t="s">
        <v>346</v>
      </c>
      <c r="O253" s="3">
        <f t="shared" si="6"/>
        <v>2.5759999999999996</v>
      </c>
      <c r="P253" s="4">
        <v>0.33</v>
      </c>
      <c r="Q253">
        <f t="shared" si="7"/>
        <v>6.6000000000000003E-2</v>
      </c>
      <c r="R253" s="4">
        <v>2.5099999999999998</v>
      </c>
      <c r="S253">
        <v>1</v>
      </c>
      <c r="V253">
        <v>1</v>
      </c>
      <c r="W253" s="4">
        <v>2.5099999999999998</v>
      </c>
      <c r="X253" t="s">
        <v>91</v>
      </c>
      <c r="Y253">
        <v>0.75</v>
      </c>
      <c r="AA253">
        <v>0</v>
      </c>
      <c r="BF253" s="4">
        <v>1562.2</v>
      </c>
      <c r="BG253" s="4"/>
      <c r="BH253" s="4">
        <v>10935.4</v>
      </c>
    </row>
    <row r="254" spans="6:60" hidden="1">
      <c r="F254" s="2" t="s">
        <v>372</v>
      </c>
      <c r="J254" t="s">
        <v>89</v>
      </c>
      <c r="K254" s="2" t="s">
        <v>346</v>
      </c>
      <c r="O254" s="3">
        <f t="shared" si="6"/>
        <v>1.6859999999999999</v>
      </c>
      <c r="P254" s="4">
        <v>0.13</v>
      </c>
      <c r="Q254">
        <f t="shared" si="7"/>
        <v>2.6000000000000002E-2</v>
      </c>
      <c r="R254" s="4">
        <v>1.66</v>
      </c>
      <c r="S254">
        <v>1</v>
      </c>
      <c r="V254">
        <v>1</v>
      </c>
      <c r="W254" s="4">
        <v>1.66</v>
      </c>
      <c r="X254" t="s">
        <v>91</v>
      </c>
      <c r="Y254">
        <v>0.75</v>
      </c>
      <c r="AA254">
        <v>0</v>
      </c>
      <c r="BF254" s="4">
        <v>900</v>
      </c>
      <c r="BG254" s="4"/>
      <c r="BH254" s="4">
        <v>6300</v>
      </c>
    </row>
    <row r="255" spans="6:60" hidden="1">
      <c r="F255" s="2" t="s">
        <v>373</v>
      </c>
      <c r="J255" t="s">
        <v>89</v>
      </c>
      <c r="K255" s="2" t="s">
        <v>346</v>
      </c>
      <c r="O255" s="3">
        <f t="shared" si="6"/>
        <v>1.734</v>
      </c>
      <c r="P255" s="4">
        <v>0.12</v>
      </c>
      <c r="Q255">
        <f t="shared" si="7"/>
        <v>2.4E-2</v>
      </c>
      <c r="R255" s="4">
        <v>1.71</v>
      </c>
      <c r="S255">
        <v>1</v>
      </c>
      <c r="V255">
        <v>1</v>
      </c>
      <c r="W255" s="4">
        <v>1.71</v>
      </c>
      <c r="X255" t="s">
        <v>91</v>
      </c>
      <c r="Y255">
        <v>0.75</v>
      </c>
      <c r="AA255">
        <v>0</v>
      </c>
      <c r="BF255" s="4">
        <v>900</v>
      </c>
      <c r="BG255" s="4"/>
      <c r="BH255" s="4">
        <v>6300</v>
      </c>
    </row>
    <row r="256" spans="6:60" hidden="1">
      <c r="F256" s="2" t="s">
        <v>374</v>
      </c>
      <c r="J256" t="s">
        <v>89</v>
      </c>
      <c r="K256" s="2" t="s">
        <v>346</v>
      </c>
      <c r="O256" s="3">
        <f t="shared" si="6"/>
        <v>2.3740000000000001</v>
      </c>
      <c r="P256" s="4">
        <v>0.22</v>
      </c>
      <c r="Q256">
        <f t="shared" si="7"/>
        <v>4.3999999999999997E-2</v>
      </c>
      <c r="R256" s="4">
        <v>2.33</v>
      </c>
      <c r="S256">
        <v>1</v>
      </c>
      <c r="V256">
        <v>1</v>
      </c>
      <c r="W256" s="4">
        <v>2.33</v>
      </c>
      <c r="X256" t="s">
        <v>91</v>
      </c>
      <c r="Y256">
        <v>0.75</v>
      </c>
      <c r="AA256">
        <v>0</v>
      </c>
      <c r="BF256" s="4">
        <v>1850</v>
      </c>
      <c r="BG256" s="4"/>
      <c r="BH256" s="4">
        <v>12950</v>
      </c>
    </row>
    <row r="257" spans="6:60" hidden="1">
      <c r="F257" s="2" t="s">
        <v>375</v>
      </c>
      <c r="J257" t="s">
        <v>89</v>
      </c>
      <c r="K257" s="2" t="s">
        <v>346</v>
      </c>
      <c r="O257" s="3">
        <f t="shared" si="6"/>
        <v>2.5124</v>
      </c>
      <c r="P257" s="4">
        <v>0.29199999999999998</v>
      </c>
      <c r="Q257">
        <f t="shared" si="7"/>
        <v>5.8399999999999994E-2</v>
      </c>
      <c r="R257" s="4">
        <v>2.4540000000000002</v>
      </c>
      <c r="S257">
        <v>1</v>
      </c>
      <c r="V257">
        <v>1</v>
      </c>
      <c r="W257" s="4">
        <v>2.4540000000000002</v>
      </c>
      <c r="X257" t="s">
        <v>91</v>
      </c>
      <c r="Y257">
        <v>0.75</v>
      </c>
      <c r="AA257">
        <v>0</v>
      </c>
      <c r="BF257" s="4">
        <v>1612.53</v>
      </c>
      <c r="BG257" s="4"/>
      <c r="BH257" s="4">
        <v>11287.7</v>
      </c>
    </row>
    <row r="258" spans="6:60" hidden="1">
      <c r="F258" s="2" t="s">
        <v>376</v>
      </c>
      <c r="J258" t="s">
        <v>89</v>
      </c>
      <c r="K258" s="2" t="s">
        <v>346</v>
      </c>
      <c r="O258" s="3">
        <f t="shared" si="6"/>
        <v>2.8860000000000001</v>
      </c>
      <c r="P258" s="4">
        <v>0.28000000000000003</v>
      </c>
      <c r="Q258">
        <f t="shared" si="7"/>
        <v>5.6000000000000008E-2</v>
      </c>
      <c r="R258" s="4">
        <v>2.83</v>
      </c>
      <c r="S258">
        <v>1</v>
      </c>
      <c r="V258">
        <v>1</v>
      </c>
      <c r="W258" s="4">
        <v>2.83</v>
      </c>
      <c r="X258" t="s">
        <v>91</v>
      </c>
      <c r="Y258">
        <v>0.75</v>
      </c>
      <c r="AA258">
        <v>0</v>
      </c>
      <c r="BF258" s="4">
        <v>1886</v>
      </c>
      <c r="BG258" s="4"/>
      <c r="BH258" s="4">
        <v>13202</v>
      </c>
    </row>
    <row r="259" spans="6:60" hidden="1">
      <c r="F259" s="2" t="s">
        <v>377</v>
      </c>
      <c r="J259" t="s">
        <v>89</v>
      </c>
      <c r="K259" s="2" t="s">
        <v>346</v>
      </c>
      <c r="O259" s="3">
        <f t="shared" ref="O259:O322" si="8">Q259+R259</f>
        <v>3.262</v>
      </c>
      <c r="P259" s="4">
        <v>0.52500000000000002</v>
      </c>
      <c r="Q259">
        <f t="shared" ref="Q259:Q322" si="9">P259/5</f>
        <v>0.10500000000000001</v>
      </c>
      <c r="R259" s="4">
        <v>3.157</v>
      </c>
      <c r="S259">
        <v>1</v>
      </c>
      <c r="V259">
        <v>1</v>
      </c>
      <c r="W259" s="4">
        <v>3.157</v>
      </c>
      <c r="X259" t="s">
        <v>91</v>
      </c>
      <c r="Y259">
        <v>0.75</v>
      </c>
      <c r="AA259">
        <v>0</v>
      </c>
      <c r="BF259" s="4">
        <v>2265</v>
      </c>
      <c r="BG259" s="4"/>
      <c r="BH259" s="4">
        <v>15855</v>
      </c>
    </row>
    <row r="260" spans="6:60" hidden="1">
      <c r="F260" s="2" t="s">
        <v>378</v>
      </c>
      <c r="J260" t="s">
        <v>89</v>
      </c>
      <c r="K260" s="2" t="s">
        <v>346</v>
      </c>
      <c r="O260" s="3">
        <f t="shared" si="8"/>
        <v>3.63</v>
      </c>
      <c r="P260" s="4">
        <v>0.28000000000000003</v>
      </c>
      <c r="Q260">
        <f t="shared" si="9"/>
        <v>5.6000000000000008E-2</v>
      </c>
      <c r="R260" s="4">
        <v>3.5739999999999998</v>
      </c>
      <c r="S260">
        <v>1</v>
      </c>
      <c r="V260">
        <v>1</v>
      </c>
      <c r="W260" s="4">
        <v>3.5739999999999998</v>
      </c>
      <c r="X260" t="s">
        <v>91</v>
      </c>
      <c r="Y260">
        <v>0.75</v>
      </c>
      <c r="AA260">
        <v>0</v>
      </c>
      <c r="BF260" s="4">
        <v>2180</v>
      </c>
      <c r="BG260" s="4"/>
      <c r="BH260" s="4">
        <v>15260</v>
      </c>
    </row>
    <row r="261" spans="6:60" hidden="1">
      <c r="F261" s="2" t="s">
        <v>379</v>
      </c>
      <c r="J261" t="s">
        <v>89</v>
      </c>
      <c r="K261" s="2" t="s">
        <v>346</v>
      </c>
      <c r="O261" s="3">
        <f t="shared" si="8"/>
        <v>3.6579999999999999</v>
      </c>
      <c r="P261" s="4">
        <v>0.28999999999999998</v>
      </c>
      <c r="Q261">
        <f t="shared" si="9"/>
        <v>5.7999999999999996E-2</v>
      </c>
      <c r="R261" s="4">
        <v>3.6</v>
      </c>
      <c r="S261">
        <v>1</v>
      </c>
      <c r="V261">
        <v>1</v>
      </c>
      <c r="W261" s="4">
        <v>3.6</v>
      </c>
      <c r="X261" t="s">
        <v>91</v>
      </c>
      <c r="Y261">
        <v>0.75</v>
      </c>
      <c r="AA261">
        <v>0</v>
      </c>
      <c r="BF261" s="4">
        <v>2180</v>
      </c>
      <c r="BG261" s="4"/>
      <c r="BH261" s="4">
        <v>15300</v>
      </c>
    </row>
    <row r="262" spans="6:60" hidden="1">
      <c r="F262" s="2" t="s">
        <v>380</v>
      </c>
      <c r="J262" t="s">
        <v>89</v>
      </c>
      <c r="K262" s="2" t="s">
        <v>346</v>
      </c>
      <c r="O262" s="3">
        <f t="shared" si="8"/>
        <v>3.3039999999999998</v>
      </c>
      <c r="P262" s="4">
        <v>0.77</v>
      </c>
      <c r="Q262">
        <f t="shared" si="9"/>
        <v>0.154</v>
      </c>
      <c r="R262" s="4">
        <v>3.15</v>
      </c>
      <c r="S262">
        <v>1</v>
      </c>
      <c r="V262">
        <v>1</v>
      </c>
      <c r="W262" s="4">
        <v>3.15</v>
      </c>
      <c r="X262" t="s">
        <v>91</v>
      </c>
      <c r="Y262">
        <v>0.75</v>
      </c>
      <c r="AA262">
        <v>0</v>
      </c>
      <c r="BF262" s="4">
        <v>3073</v>
      </c>
      <c r="BG262" s="4"/>
      <c r="BH262" s="4">
        <v>21500</v>
      </c>
    </row>
    <row r="263" spans="6:60" hidden="1">
      <c r="F263" s="2" t="s">
        <v>381</v>
      </c>
      <c r="J263" t="s">
        <v>89</v>
      </c>
      <c r="K263" s="2" t="s">
        <v>346</v>
      </c>
      <c r="O263" s="3">
        <f t="shared" si="8"/>
        <v>4.6659999999999995</v>
      </c>
      <c r="P263" s="4">
        <v>0.98</v>
      </c>
      <c r="Q263">
        <f t="shared" si="9"/>
        <v>0.19600000000000001</v>
      </c>
      <c r="R263" s="4">
        <v>4.47</v>
      </c>
      <c r="S263">
        <v>1</v>
      </c>
      <c r="V263">
        <v>1</v>
      </c>
      <c r="W263" s="4">
        <v>4.47</v>
      </c>
      <c r="X263" t="s">
        <v>91</v>
      </c>
      <c r="Y263">
        <v>0.75</v>
      </c>
      <c r="AA263">
        <v>0</v>
      </c>
      <c r="BF263" s="4">
        <v>1916.21</v>
      </c>
      <c r="BG263" s="4"/>
      <c r="BH263" s="4">
        <v>13415</v>
      </c>
    </row>
    <row r="264" spans="6:60" hidden="1">
      <c r="F264" s="2" t="s">
        <v>382</v>
      </c>
      <c r="J264" t="s">
        <v>89</v>
      </c>
      <c r="K264" s="2" t="s">
        <v>346</v>
      </c>
      <c r="O264" s="3">
        <f t="shared" si="8"/>
        <v>2.4420000000000002</v>
      </c>
      <c r="P264" s="4">
        <v>0.36</v>
      </c>
      <c r="Q264">
        <f t="shared" si="9"/>
        <v>7.1999999999999995E-2</v>
      </c>
      <c r="R264" s="4">
        <v>2.37</v>
      </c>
      <c r="S264">
        <v>1</v>
      </c>
      <c r="V264">
        <v>1</v>
      </c>
      <c r="W264" s="4">
        <v>2.37</v>
      </c>
      <c r="X264" t="s">
        <v>91</v>
      </c>
      <c r="Y264">
        <v>0.75</v>
      </c>
      <c r="AA264">
        <v>0</v>
      </c>
      <c r="BF264" s="4">
        <v>620.5</v>
      </c>
      <c r="BG264" s="4"/>
      <c r="BH264" s="4">
        <v>4345</v>
      </c>
    </row>
    <row r="265" spans="6:60" hidden="1">
      <c r="F265" s="2" t="s">
        <v>383</v>
      </c>
      <c r="J265" t="s">
        <v>89</v>
      </c>
      <c r="K265" s="2" t="s">
        <v>384</v>
      </c>
      <c r="O265" s="3">
        <f t="shared" si="8"/>
        <v>2.8379999999999996</v>
      </c>
      <c r="P265" s="4">
        <v>0.19</v>
      </c>
      <c r="Q265">
        <f t="shared" si="9"/>
        <v>3.7999999999999999E-2</v>
      </c>
      <c r="R265" s="4">
        <v>2.8</v>
      </c>
      <c r="S265">
        <v>1</v>
      </c>
      <c r="V265">
        <v>1</v>
      </c>
      <c r="W265" s="4">
        <v>2.8</v>
      </c>
      <c r="X265" t="s">
        <v>91</v>
      </c>
      <c r="Y265">
        <v>0.75</v>
      </c>
      <c r="AA265">
        <v>0</v>
      </c>
      <c r="BF265" s="4">
        <v>1812.91</v>
      </c>
      <c r="BG265" s="4"/>
      <c r="BH265" s="4">
        <v>12690.37</v>
      </c>
    </row>
    <row r="266" spans="6:60" hidden="1">
      <c r="F266" s="2" t="s">
        <v>385</v>
      </c>
      <c r="J266" t="s">
        <v>89</v>
      </c>
      <c r="K266" s="2" t="s">
        <v>384</v>
      </c>
      <c r="O266" s="3">
        <f t="shared" si="8"/>
        <v>10.028</v>
      </c>
      <c r="P266" s="4">
        <v>0.34</v>
      </c>
      <c r="Q266">
        <f t="shared" si="9"/>
        <v>6.8000000000000005E-2</v>
      </c>
      <c r="R266" s="4">
        <v>9.9600000000000009</v>
      </c>
      <c r="S266">
        <v>1</v>
      </c>
      <c r="V266">
        <v>1</v>
      </c>
      <c r="W266" s="4">
        <v>9.9600000000000009</v>
      </c>
      <c r="X266" t="s">
        <v>91</v>
      </c>
      <c r="Y266">
        <v>0.75</v>
      </c>
      <c r="AA266">
        <v>0</v>
      </c>
      <c r="BF266" s="4">
        <v>7540</v>
      </c>
      <c r="BG266" s="4"/>
      <c r="BH266" s="4">
        <v>52780</v>
      </c>
    </row>
    <row r="267" spans="6:60" hidden="1">
      <c r="F267" s="2" t="s">
        <v>386</v>
      </c>
      <c r="J267" t="s">
        <v>89</v>
      </c>
      <c r="K267" s="2" t="s">
        <v>384</v>
      </c>
      <c r="O267" s="3">
        <f t="shared" si="8"/>
        <v>2.9342000000000001</v>
      </c>
      <c r="P267" s="4">
        <v>0.221</v>
      </c>
      <c r="Q267">
        <f t="shared" si="9"/>
        <v>4.4200000000000003E-2</v>
      </c>
      <c r="R267" s="4">
        <v>2.89</v>
      </c>
      <c r="S267">
        <v>1</v>
      </c>
      <c r="V267">
        <v>1</v>
      </c>
      <c r="W267" s="4">
        <v>2.89</v>
      </c>
      <c r="X267" t="s">
        <v>91</v>
      </c>
      <c r="Y267">
        <v>0.75</v>
      </c>
      <c r="AA267">
        <v>0</v>
      </c>
      <c r="BF267" s="4">
        <v>2142.1</v>
      </c>
      <c r="BG267" s="4"/>
      <c r="BH267" s="4">
        <v>14995</v>
      </c>
    </row>
    <row r="268" spans="6:60" hidden="1">
      <c r="F268" s="2" t="s">
        <v>387</v>
      </c>
      <c r="J268" t="s">
        <v>89</v>
      </c>
      <c r="K268" s="2" t="s">
        <v>384</v>
      </c>
      <c r="O268" s="3">
        <f t="shared" si="8"/>
        <v>5.8780000000000001</v>
      </c>
      <c r="P268" s="4">
        <v>0.28999999999999998</v>
      </c>
      <c r="Q268">
        <f t="shared" si="9"/>
        <v>5.7999999999999996E-2</v>
      </c>
      <c r="R268" s="4">
        <v>5.82</v>
      </c>
      <c r="S268">
        <v>1</v>
      </c>
      <c r="V268">
        <v>1</v>
      </c>
      <c r="W268" s="4">
        <v>5.82</v>
      </c>
      <c r="X268" t="s">
        <v>91</v>
      </c>
      <c r="Y268">
        <v>0.75</v>
      </c>
      <c r="AA268">
        <v>0</v>
      </c>
      <c r="BF268" s="4">
        <v>3704</v>
      </c>
      <c r="BG268" s="4"/>
      <c r="BH268" s="4">
        <v>25900</v>
      </c>
    </row>
    <row r="269" spans="6:60" hidden="1">
      <c r="F269" s="2" t="s">
        <v>388</v>
      </c>
      <c r="J269" t="s">
        <v>89</v>
      </c>
      <c r="K269" s="2" t="s">
        <v>384</v>
      </c>
      <c r="O269" s="3">
        <f t="shared" si="8"/>
        <v>3.12</v>
      </c>
      <c r="P269" s="4">
        <v>0.3</v>
      </c>
      <c r="Q269">
        <f t="shared" si="9"/>
        <v>0.06</v>
      </c>
      <c r="R269" s="4">
        <v>3.06</v>
      </c>
      <c r="S269">
        <v>1</v>
      </c>
      <c r="V269">
        <v>1</v>
      </c>
      <c r="W269" s="4">
        <v>3.06</v>
      </c>
      <c r="X269" t="s">
        <v>91</v>
      </c>
      <c r="Y269">
        <v>0.75</v>
      </c>
      <c r="AA269">
        <v>0</v>
      </c>
      <c r="BF269" s="4">
        <v>1250.75</v>
      </c>
      <c r="BG269" s="4"/>
      <c r="BH269" s="4">
        <v>8755.24</v>
      </c>
    </row>
    <row r="270" spans="6:60" hidden="1">
      <c r="F270" s="2" t="s">
        <v>389</v>
      </c>
      <c r="J270" t="s">
        <v>89</v>
      </c>
      <c r="K270" s="2" t="s">
        <v>384</v>
      </c>
      <c r="O270" s="3">
        <f t="shared" si="8"/>
        <v>4.4412000000000003</v>
      </c>
      <c r="P270" s="4">
        <v>0.20599999999999999</v>
      </c>
      <c r="Q270">
        <f t="shared" si="9"/>
        <v>4.1200000000000001E-2</v>
      </c>
      <c r="R270" s="4">
        <v>4.4000000000000004</v>
      </c>
      <c r="S270">
        <v>1</v>
      </c>
      <c r="V270">
        <v>1</v>
      </c>
      <c r="W270" s="4">
        <v>4.4000000000000004</v>
      </c>
      <c r="X270" t="s">
        <v>91</v>
      </c>
      <c r="Y270">
        <v>0.75</v>
      </c>
      <c r="AA270">
        <v>0</v>
      </c>
      <c r="BF270" s="4">
        <v>2075</v>
      </c>
      <c r="BG270" s="4"/>
      <c r="BH270" s="4">
        <v>14523</v>
      </c>
    </row>
    <row r="271" spans="6:60" hidden="1">
      <c r="F271" s="2" t="s">
        <v>390</v>
      </c>
      <c r="J271" t="s">
        <v>89</v>
      </c>
      <c r="K271" s="2" t="s">
        <v>391</v>
      </c>
      <c r="O271" s="3">
        <f t="shared" si="8"/>
        <v>43.44</v>
      </c>
      <c r="P271" s="4">
        <v>12.7</v>
      </c>
      <c r="Q271">
        <f t="shared" si="9"/>
        <v>2.54</v>
      </c>
      <c r="R271" s="4">
        <v>40.9</v>
      </c>
      <c r="S271">
        <v>1</v>
      </c>
      <c r="V271">
        <v>1</v>
      </c>
      <c r="W271" s="4">
        <v>40.9</v>
      </c>
      <c r="X271" t="s">
        <v>91</v>
      </c>
      <c r="Y271">
        <v>0.75</v>
      </c>
      <c r="AA271">
        <v>0</v>
      </c>
      <c r="BF271" s="4">
        <v>25140.799999999999</v>
      </c>
      <c r="BG271" s="4"/>
      <c r="BH271" s="4">
        <v>175985.57</v>
      </c>
    </row>
    <row r="272" spans="6:60" hidden="1">
      <c r="F272" s="2" t="s">
        <v>392</v>
      </c>
      <c r="J272" t="s">
        <v>89</v>
      </c>
      <c r="K272" s="2" t="s">
        <v>391</v>
      </c>
      <c r="O272" s="3">
        <f t="shared" si="8"/>
        <v>50.78</v>
      </c>
      <c r="P272" s="4">
        <v>10.8</v>
      </c>
      <c r="Q272">
        <f t="shared" si="9"/>
        <v>2.16</v>
      </c>
      <c r="R272" s="4">
        <v>48.62</v>
      </c>
      <c r="S272">
        <v>1</v>
      </c>
      <c r="V272">
        <v>1</v>
      </c>
      <c r="W272" s="4">
        <v>48.62</v>
      </c>
      <c r="X272" t="s">
        <v>91</v>
      </c>
      <c r="Y272">
        <v>0.75</v>
      </c>
      <c r="AA272">
        <v>0</v>
      </c>
      <c r="BF272" s="4">
        <v>23626.68</v>
      </c>
      <c r="BG272" s="4"/>
      <c r="BH272" s="4">
        <v>165386.76999999999</v>
      </c>
    </row>
    <row r="273" spans="6:60" hidden="1">
      <c r="F273" s="2" t="s">
        <v>393</v>
      </c>
      <c r="J273" t="s">
        <v>89</v>
      </c>
      <c r="K273" s="2" t="s">
        <v>391</v>
      </c>
      <c r="O273" s="3">
        <f t="shared" si="8"/>
        <v>2.3940000000000001</v>
      </c>
      <c r="P273" s="4">
        <v>0.52</v>
      </c>
      <c r="Q273">
        <f t="shared" si="9"/>
        <v>0.10400000000000001</v>
      </c>
      <c r="R273" s="4">
        <v>2.29</v>
      </c>
      <c r="S273">
        <v>1</v>
      </c>
      <c r="V273">
        <v>1</v>
      </c>
      <c r="W273" s="4">
        <v>2.29</v>
      </c>
      <c r="X273" t="s">
        <v>91</v>
      </c>
      <c r="Y273">
        <v>0.75</v>
      </c>
      <c r="AA273">
        <v>0</v>
      </c>
      <c r="BF273" s="4">
        <v>1017</v>
      </c>
      <c r="BG273" s="4"/>
      <c r="BH273" s="4">
        <v>9000</v>
      </c>
    </row>
    <row r="274" spans="6:60" hidden="1">
      <c r="F274" s="2" t="s">
        <v>394</v>
      </c>
      <c r="J274" t="s">
        <v>89</v>
      </c>
      <c r="K274" s="2" t="s">
        <v>391</v>
      </c>
      <c r="O274" s="3">
        <f t="shared" si="8"/>
        <v>2.2040000000000002</v>
      </c>
      <c r="P274" s="4">
        <v>0.42</v>
      </c>
      <c r="Q274">
        <f t="shared" si="9"/>
        <v>8.3999999999999991E-2</v>
      </c>
      <c r="R274" s="4">
        <v>2.12</v>
      </c>
      <c r="S274">
        <v>1</v>
      </c>
      <c r="V274">
        <v>1</v>
      </c>
      <c r="W274" s="4">
        <v>2.12</v>
      </c>
      <c r="X274" t="s">
        <v>91</v>
      </c>
      <c r="Y274">
        <v>0.75</v>
      </c>
      <c r="AA274">
        <v>0</v>
      </c>
      <c r="BF274" s="4">
        <v>1053</v>
      </c>
      <c r="BG274" s="4"/>
      <c r="BH274" s="4">
        <v>9000</v>
      </c>
    </row>
    <row r="275" spans="6:60" hidden="1">
      <c r="F275" s="2" t="s">
        <v>395</v>
      </c>
      <c r="J275" t="s">
        <v>89</v>
      </c>
      <c r="K275" s="2" t="s">
        <v>391</v>
      </c>
      <c r="O275" s="3">
        <f t="shared" si="8"/>
        <v>26.13</v>
      </c>
      <c r="P275" s="4">
        <v>8.4</v>
      </c>
      <c r="Q275">
        <f t="shared" si="9"/>
        <v>1.6800000000000002</v>
      </c>
      <c r="R275" s="4">
        <v>24.45</v>
      </c>
      <c r="S275">
        <v>1</v>
      </c>
      <c r="V275">
        <v>1</v>
      </c>
      <c r="W275" s="4">
        <v>24.45</v>
      </c>
      <c r="X275" t="s">
        <v>91</v>
      </c>
      <c r="Y275">
        <v>0.75</v>
      </c>
      <c r="AA275">
        <v>0</v>
      </c>
      <c r="BF275" s="4">
        <v>24600</v>
      </c>
      <c r="BG275" s="4"/>
      <c r="BH275" s="4">
        <v>172400</v>
      </c>
    </row>
    <row r="276" spans="6:60" hidden="1">
      <c r="F276" s="2" t="s">
        <v>396</v>
      </c>
      <c r="J276" t="s">
        <v>89</v>
      </c>
      <c r="K276" s="2" t="s">
        <v>391</v>
      </c>
      <c r="O276" s="3">
        <f t="shared" si="8"/>
        <v>7.9580000000000002</v>
      </c>
      <c r="P276" s="4">
        <v>0.49</v>
      </c>
      <c r="Q276">
        <f t="shared" si="9"/>
        <v>9.8000000000000004E-2</v>
      </c>
      <c r="R276" s="4">
        <v>7.86</v>
      </c>
      <c r="S276">
        <v>1</v>
      </c>
      <c r="V276">
        <v>1</v>
      </c>
      <c r="W276" s="4">
        <v>7.86</v>
      </c>
      <c r="X276" t="s">
        <v>91</v>
      </c>
      <c r="Y276">
        <v>0.75</v>
      </c>
      <c r="AA276">
        <v>0</v>
      </c>
      <c r="BF276" s="4">
        <v>1</v>
      </c>
      <c r="BG276" s="4"/>
      <c r="BH276" s="4">
        <v>21000</v>
      </c>
    </row>
    <row r="277" spans="6:60" hidden="1">
      <c r="F277" s="2" t="s">
        <v>397</v>
      </c>
      <c r="J277" t="s">
        <v>89</v>
      </c>
      <c r="K277" s="2" t="s">
        <v>391</v>
      </c>
      <c r="O277" s="3">
        <f t="shared" si="8"/>
        <v>4.1692</v>
      </c>
      <c r="P277" s="4">
        <v>0.44600000000000001</v>
      </c>
      <c r="Q277">
        <f t="shared" si="9"/>
        <v>8.9200000000000002E-2</v>
      </c>
      <c r="R277" s="4">
        <v>4.08</v>
      </c>
      <c r="S277">
        <v>1</v>
      </c>
      <c r="V277">
        <v>1</v>
      </c>
      <c r="W277" s="4">
        <v>4.08</v>
      </c>
      <c r="X277" t="s">
        <v>91</v>
      </c>
      <c r="Y277">
        <v>0.75</v>
      </c>
      <c r="AA277">
        <v>0</v>
      </c>
      <c r="BF277" s="4">
        <v>1852</v>
      </c>
      <c r="BG277" s="4"/>
      <c r="BH277" s="4">
        <v>12963</v>
      </c>
    </row>
    <row r="278" spans="6:60" hidden="1">
      <c r="F278" s="2" t="s">
        <v>398</v>
      </c>
      <c r="J278" t="s">
        <v>89</v>
      </c>
      <c r="K278" s="2" t="s">
        <v>391</v>
      </c>
      <c r="O278" s="3">
        <f t="shared" si="8"/>
        <v>4.6760000000000002</v>
      </c>
      <c r="P278" s="4">
        <v>0.43</v>
      </c>
      <c r="Q278">
        <f t="shared" si="9"/>
        <v>8.5999999999999993E-2</v>
      </c>
      <c r="R278" s="4">
        <v>4.59</v>
      </c>
      <c r="S278">
        <v>1</v>
      </c>
      <c r="V278">
        <v>1</v>
      </c>
      <c r="W278" s="4">
        <v>4.59</v>
      </c>
      <c r="X278" t="s">
        <v>91</v>
      </c>
      <c r="Y278">
        <v>0.75</v>
      </c>
      <c r="AA278">
        <v>0</v>
      </c>
      <c r="BF278" s="4">
        <v>2038</v>
      </c>
      <c r="BG278" s="4"/>
      <c r="BH278" s="4">
        <v>14268</v>
      </c>
    </row>
    <row r="279" spans="6:60" hidden="1">
      <c r="F279" s="2" t="s">
        <v>399</v>
      </c>
      <c r="J279" t="s">
        <v>89</v>
      </c>
      <c r="K279" s="2" t="s">
        <v>391</v>
      </c>
      <c r="O279" s="3">
        <f t="shared" si="8"/>
        <v>29.033999999999999</v>
      </c>
      <c r="P279" s="4">
        <v>2.37</v>
      </c>
      <c r="Q279">
        <f t="shared" si="9"/>
        <v>0.47400000000000003</v>
      </c>
      <c r="R279" s="4">
        <v>28.56</v>
      </c>
      <c r="S279">
        <v>1</v>
      </c>
      <c r="V279">
        <v>1</v>
      </c>
      <c r="W279" s="4">
        <v>28.56</v>
      </c>
      <c r="X279" t="s">
        <v>91</v>
      </c>
      <c r="Y279">
        <v>0.75</v>
      </c>
      <c r="AA279">
        <v>0</v>
      </c>
      <c r="BF279" s="4">
        <v>18315.919999999998</v>
      </c>
      <c r="BG279" s="4"/>
      <c r="BH279" s="4">
        <v>128211.45</v>
      </c>
    </row>
    <row r="280" spans="6:60" hidden="1">
      <c r="F280" s="2" t="s">
        <v>400</v>
      </c>
      <c r="J280" t="s">
        <v>89</v>
      </c>
      <c r="K280" s="2" t="s">
        <v>391</v>
      </c>
      <c r="O280" s="3">
        <f t="shared" si="8"/>
        <v>46.054000000000002</v>
      </c>
      <c r="P280" s="4">
        <v>8.7200000000000006</v>
      </c>
      <c r="Q280">
        <f t="shared" si="9"/>
        <v>1.7440000000000002</v>
      </c>
      <c r="R280" s="4">
        <v>44.31</v>
      </c>
      <c r="S280">
        <v>1</v>
      </c>
      <c r="V280">
        <v>1</v>
      </c>
      <c r="W280" s="4">
        <v>44.31</v>
      </c>
      <c r="X280" t="s">
        <v>91</v>
      </c>
      <c r="Y280">
        <v>0.75</v>
      </c>
      <c r="AA280">
        <v>0</v>
      </c>
      <c r="BF280" s="4">
        <v>24265.24</v>
      </c>
      <c r="BG280" s="4"/>
      <c r="BH280" s="4">
        <v>169856.65</v>
      </c>
    </row>
    <row r="281" spans="6:60" hidden="1">
      <c r="F281" s="2" t="s">
        <v>401</v>
      </c>
      <c r="J281" t="s">
        <v>89</v>
      </c>
      <c r="K281" s="2" t="s">
        <v>391</v>
      </c>
      <c r="O281" s="3">
        <f t="shared" si="8"/>
        <v>44.302</v>
      </c>
      <c r="P281" s="4">
        <v>3.86</v>
      </c>
      <c r="Q281">
        <f t="shared" si="9"/>
        <v>0.77200000000000002</v>
      </c>
      <c r="R281" s="4">
        <v>43.53</v>
      </c>
      <c r="S281">
        <v>1</v>
      </c>
      <c r="V281">
        <v>1</v>
      </c>
      <c r="W281" s="4">
        <v>43.53</v>
      </c>
      <c r="X281" t="s">
        <v>91</v>
      </c>
      <c r="Y281">
        <v>0.75</v>
      </c>
      <c r="AA281">
        <v>0</v>
      </c>
      <c r="BF281" s="4">
        <v>20378.79</v>
      </c>
      <c r="BG281" s="4"/>
      <c r="BH281" s="4">
        <v>142651.51999999999</v>
      </c>
    </row>
    <row r="282" spans="6:60" hidden="1">
      <c r="F282" s="2" t="s">
        <v>402</v>
      </c>
      <c r="J282" t="s">
        <v>89</v>
      </c>
      <c r="K282" s="2" t="s">
        <v>391</v>
      </c>
      <c r="O282" s="3">
        <f t="shared" si="8"/>
        <v>20.884</v>
      </c>
      <c r="P282" s="4">
        <v>3.97</v>
      </c>
      <c r="Q282">
        <f t="shared" si="9"/>
        <v>0.79400000000000004</v>
      </c>
      <c r="R282" s="4">
        <v>20.09</v>
      </c>
      <c r="S282">
        <v>1</v>
      </c>
      <c r="V282">
        <v>1</v>
      </c>
      <c r="W282" s="4">
        <v>20.09</v>
      </c>
      <c r="X282" t="s">
        <v>91</v>
      </c>
      <c r="Y282">
        <v>0.75</v>
      </c>
      <c r="AA282">
        <v>0</v>
      </c>
      <c r="BF282" s="4">
        <v>14609.35</v>
      </c>
      <c r="BG282" s="4"/>
      <c r="BH282" s="4">
        <v>102265.44</v>
      </c>
    </row>
    <row r="283" spans="6:60" hidden="1">
      <c r="F283" s="2" t="s">
        <v>403</v>
      </c>
      <c r="J283" t="s">
        <v>89</v>
      </c>
      <c r="K283" s="2" t="s">
        <v>391</v>
      </c>
      <c r="O283" s="3">
        <f t="shared" si="8"/>
        <v>7.9660000000000002</v>
      </c>
      <c r="P283" s="4">
        <v>2.1800000000000002</v>
      </c>
      <c r="Q283">
        <f t="shared" si="9"/>
        <v>0.43600000000000005</v>
      </c>
      <c r="R283" s="4">
        <v>7.53</v>
      </c>
      <c r="S283">
        <v>1</v>
      </c>
      <c r="V283">
        <v>1</v>
      </c>
      <c r="W283" s="4">
        <v>7.53</v>
      </c>
      <c r="X283" t="s">
        <v>91</v>
      </c>
      <c r="Y283">
        <v>0.75</v>
      </c>
      <c r="AA283">
        <v>0</v>
      </c>
      <c r="BF283" s="4">
        <v>6411</v>
      </c>
      <c r="BG283" s="4"/>
      <c r="BH283" s="4">
        <v>44800</v>
      </c>
    </row>
    <row r="284" spans="6:60" hidden="1">
      <c r="F284" s="2" t="s">
        <v>404</v>
      </c>
      <c r="J284" t="s">
        <v>89</v>
      </c>
      <c r="K284" s="2" t="s">
        <v>391</v>
      </c>
      <c r="O284" s="3">
        <f t="shared" si="8"/>
        <v>21.841999999999999</v>
      </c>
      <c r="P284" s="4">
        <v>3.75</v>
      </c>
      <c r="Q284">
        <f t="shared" si="9"/>
        <v>0.75</v>
      </c>
      <c r="R284" s="4">
        <v>21.091999999999999</v>
      </c>
      <c r="S284">
        <v>1</v>
      </c>
      <c r="V284">
        <v>1</v>
      </c>
      <c r="W284" s="4">
        <v>21.091999999999999</v>
      </c>
      <c r="X284" t="s">
        <v>91</v>
      </c>
      <c r="Y284">
        <v>0.75</v>
      </c>
      <c r="AA284">
        <v>0</v>
      </c>
      <c r="BF284" s="4">
        <v>19325.18</v>
      </c>
      <c r="BG284" s="4"/>
      <c r="BH284" s="4">
        <v>135276.26</v>
      </c>
    </row>
    <row r="285" spans="6:60" hidden="1">
      <c r="F285" s="2" t="s">
        <v>405</v>
      </c>
      <c r="J285" t="s">
        <v>89</v>
      </c>
      <c r="K285" s="2" t="s">
        <v>391</v>
      </c>
      <c r="O285" s="3">
        <f t="shared" si="8"/>
        <v>15.783999999999999</v>
      </c>
      <c r="P285" s="4">
        <v>5.52</v>
      </c>
      <c r="Q285">
        <f t="shared" si="9"/>
        <v>1.1039999999999999</v>
      </c>
      <c r="R285" s="4">
        <v>14.68</v>
      </c>
      <c r="S285">
        <v>1</v>
      </c>
      <c r="V285">
        <v>1</v>
      </c>
      <c r="W285" s="4">
        <v>14.68</v>
      </c>
      <c r="X285" t="s">
        <v>91</v>
      </c>
      <c r="Y285">
        <v>0.75</v>
      </c>
      <c r="AA285">
        <v>0</v>
      </c>
      <c r="BF285" s="4">
        <v>10450</v>
      </c>
      <c r="BG285" s="4"/>
      <c r="BH285" s="4">
        <v>73150.02</v>
      </c>
    </row>
    <row r="286" spans="6:60" hidden="1">
      <c r="F286" s="2" t="s">
        <v>406</v>
      </c>
      <c r="J286" t="s">
        <v>89</v>
      </c>
      <c r="K286" s="2" t="s">
        <v>391</v>
      </c>
      <c r="O286" s="3">
        <f t="shared" si="8"/>
        <v>5.05</v>
      </c>
      <c r="P286" s="5"/>
      <c r="Q286">
        <f t="shared" si="9"/>
        <v>0</v>
      </c>
      <c r="R286" s="4">
        <v>5.05</v>
      </c>
      <c r="S286">
        <v>1</v>
      </c>
      <c r="V286">
        <v>1</v>
      </c>
      <c r="W286" s="4">
        <v>5.05</v>
      </c>
      <c r="X286" t="s">
        <v>91</v>
      </c>
      <c r="Y286">
        <v>0.75</v>
      </c>
      <c r="AA286">
        <v>0</v>
      </c>
      <c r="BF286" s="4">
        <v>2037</v>
      </c>
      <c r="BG286" s="4"/>
      <c r="BH286" s="4">
        <v>14259</v>
      </c>
    </row>
    <row r="287" spans="6:60" hidden="1">
      <c r="F287" s="2" t="s">
        <v>407</v>
      </c>
      <c r="J287" t="s">
        <v>89</v>
      </c>
      <c r="K287" s="2" t="s">
        <v>391</v>
      </c>
      <c r="O287" s="3">
        <f t="shared" si="8"/>
        <v>2.09</v>
      </c>
      <c r="P287" s="4">
        <v>0.05</v>
      </c>
      <c r="Q287">
        <f t="shared" si="9"/>
        <v>0.01</v>
      </c>
      <c r="R287" s="4">
        <v>2.08</v>
      </c>
      <c r="S287">
        <v>1</v>
      </c>
      <c r="V287">
        <v>1</v>
      </c>
      <c r="W287" s="4">
        <v>2.08</v>
      </c>
      <c r="X287" t="s">
        <v>91</v>
      </c>
      <c r="Y287">
        <v>0.75</v>
      </c>
      <c r="AA287">
        <v>0</v>
      </c>
      <c r="BF287" s="4">
        <v>467.2</v>
      </c>
      <c r="BG287" s="4"/>
      <c r="BH287" s="4">
        <v>3270.4</v>
      </c>
    </row>
    <row r="288" spans="6:60" hidden="1">
      <c r="F288" s="2" t="s">
        <v>408</v>
      </c>
      <c r="J288" t="s">
        <v>89</v>
      </c>
      <c r="K288" s="2" t="s">
        <v>391</v>
      </c>
      <c r="O288" s="3">
        <f t="shared" si="8"/>
        <v>2.5939999999999999</v>
      </c>
      <c r="P288" s="4">
        <v>0.32</v>
      </c>
      <c r="Q288">
        <f t="shared" si="9"/>
        <v>6.4000000000000001E-2</v>
      </c>
      <c r="R288" s="4">
        <v>2.5299999999999998</v>
      </c>
      <c r="S288">
        <v>1</v>
      </c>
      <c r="V288">
        <v>1</v>
      </c>
      <c r="W288" s="4">
        <v>2.5299999999999998</v>
      </c>
      <c r="X288" t="s">
        <v>91</v>
      </c>
      <c r="Y288">
        <v>0.75</v>
      </c>
      <c r="AA288">
        <v>0</v>
      </c>
      <c r="BF288" s="4">
        <v>1793</v>
      </c>
      <c r="BG288" s="4"/>
      <c r="BH288" s="4">
        <v>12551</v>
      </c>
    </row>
    <row r="289" spans="6:60" hidden="1">
      <c r="F289" s="2" t="s">
        <v>409</v>
      </c>
      <c r="J289" t="s">
        <v>89</v>
      </c>
      <c r="K289" s="2" t="s">
        <v>391</v>
      </c>
      <c r="O289" s="3">
        <f t="shared" si="8"/>
        <v>1.9167999999999998</v>
      </c>
      <c r="P289" s="4">
        <v>3.4000000000000002E-2</v>
      </c>
      <c r="Q289">
        <f t="shared" si="9"/>
        <v>6.8000000000000005E-3</v>
      </c>
      <c r="R289" s="4">
        <v>1.91</v>
      </c>
      <c r="S289">
        <v>1</v>
      </c>
      <c r="V289">
        <v>1</v>
      </c>
      <c r="W289" s="4">
        <v>1.91</v>
      </c>
      <c r="X289" t="s">
        <v>91</v>
      </c>
      <c r="Y289">
        <v>0.75</v>
      </c>
      <c r="AA289">
        <v>0</v>
      </c>
      <c r="BF289" s="4">
        <v>1284.8</v>
      </c>
      <c r="BG289" s="4"/>
      <c r="BH289" s="4">
        <v>8995</v>
      </c>
    </row>
    <row r="290" spans="6:60" hidden="1">
      <c r="F290" s="2" t="s">
        <v>410</v>
      </c>
      <c r="J290" t="s">
        <v>89</v>
      </c>
      <c r="K290" s="2" t="s">
        <v>391</v>
      </c>
      <c r="O290" s="3">
        <f t="shared" si="8"/>
        <v>1.5407999999999999</v>
      </c>
      <c r="P290" s="4">
        <v>0.30399999999999999</v>
      </c>
      <c r="Q290">
        <f t="shared" si="9"/>
        <v>6.08E-2</v>
      </c>
      <c r="R290" s="4">
        <v>1.48</v>
      </c>
      <c r="S290">
        <v>1</v>
      </c>
      <c r="V290">
        <v>1</v>
      </c>
      <c r="W290" s="4">
        <v>1.48</v>
      </c>
      <c r="X290" t="s">
        <v>91</v>
      </c>
      <c r="Y290">
        <v>0.75</v>
      </c>
      <c r="AA290">
        <v>0</v>
      </c>
      <c r="BF290" s="4">
        <v>1058.5</v>
      </c>
      <c r="BG290" s="4"/>
      <c r="BH290" s="4">
        <v>7410</v>
      </c>
    </row>
    <row r="291" spans="6:60" hidden="1">
      <c r="F291" s="2" t="s">
        <v>411</v>
      </c>
      <c r="J291" t="s">
        <v>89</v>
      </c>
      <c r="K291" s="2" t="s">
        <v>391</v>
      </c>
      <c r="O291" s="3">
        <f t="shared" si="8"/>
        <v>2.21</v>
      </c>
      <c r="P291" s="4">
        <v>0.35</v>
      </c>
      <c r="Q291">
        <f t="shared" si="9"/>
        <v>6.9999999999999993E-2</v>
      </c>
      <c r="R291" s="4">
        <v>2.14</v>
      </c>
      <c r="S291">
        <v>1</v>
      </c>
      <c r="V291">
        <v>1</v>
      </c>
      <c r="W291" s="4">
        <v>2.14</v>
      </c>
      <c r="X291" t="s">
        <v>91</v>
      </c>
      <c r="Y291">
        <v>0.75</v>
      </c>
      <c r="AA291">
        <v>0</v>
      </c>
      <c r="BF291" s="4">
        <v>1241</v>
      </c>
      <c r="BG291" s="4"/>
      <c r="BH291" s="4">
        <v>8687</v>
      </c>
    </row>
    <row r="292" spans="6:60" hidden="1">
      <c r="F292" s="2" t="s">
        <v>412</v>
      </c>
      <c r="J292" t="s">
        <v>89</v>
      </c>
      <c r="K292" s="2" t="s">
        <v>391</v>
      </c>
      <c r="O292" s="3">
        <f t="shared" si="8"/>
        <v>2.4019999999999997</v>
      </c>
      <c r="P292" s="4">
        <v>0.21</v>
      </c>
      <c r="Q292">
        <f t="shared" si="9"/>
        <v>4.1999999999999996E-2</v>
      </c>
      <c r="R292" s="4">
        <v>2.36</v>
      </c>
      <c r="S292">
        <v>1</v>
      </c>
      <c r="V292">
        <v>1</v>
      </c>
      <c r="W292" s="4">
        <v>2.36</v>
      </c>
      <c r="X292" t="s">
        <v>91</v>
      </c>
      <c r="Y292">
        <v>0.75</v>
      </c>
      <c r="AA292">
        <v>0</v>
      </c>
      <c r="BF292" s="4">
        <v>1295.75</v>
      </c>
      <c r="BG292" s="4"/>
      <c r="BH292" s="4">
        <v>9071</v>
      </c>
    </row>
    <row r="293" spans="6:60" hidden="1">
      <c r="F293" s="2" t="s">
        <v>413</v>
      </c>
      <c r="J293" t="s">
        <v>89</v>
      </c>
      <c r="K293" s="2" t="s">
        <v>391</v>
      </c>
      <c r="O293" s="3">
        <f t="shared" si="8"/>
        <v>2.3689999999999998</v>
      </c>
      <c r="P293" s="4">
        <v>0.15</v>
      </c>
      <c r="Q293">
        <f t="shared" si="9"/>
        <v>0.03</v>
      </c>
      <c r="R293" s="4">
        <v>2.339</v>
      </c>
      <c r="S293">
        <v>1</v>
      </c>
      <c r="V293">
        <v>1</v>
      </c>
      <c r="W293" s="4">
        <v>2.339</v>
      </c>
      <c r="X293" t="s">
        <v>91</v>
      </c>
      <c r="Y293">
        <v>0.75</v>
      </c>
      <c r="AA293">
        <v>0</v>
      </c>
      <c r="BF293" s="4">
        <v>1194.46</v>
      </c>
      <c r="BG293" s="4"/>
      <c r="BH293" s="4">
        <v>8365</v>
      </c>
    </row>
    <row r="294" spans="6:60" hidden="1">
      <c r="F294" s="2" t="s">
        <v>414</v>
      </c>
      <c r="J294" t="s">
        <v>89</v>
      </c>
      <c r="K294" s="2" t="s">
        <v>391</v>
      </c>
      <c r="O294" s="3">
        <f t="shared" si="8"/>
        <v>14.016</v>
      </c>
      <c r="P294" s="4">
        <v>1.61</v>
      </c>
      <c r="Q294">
        <f t="shared" si="9"/>
        <v>0.32200000000000001</v>
      </c>
      <c r="R294" s="4">
        <v>13.694000000000001</v>
      </c>
      <c r="S294">
        <v>1</v>
      </c>
      <c r="V294">
        <v>1</v>
      </c>
      <c r="W294" s="4">
        <v>13.694000000000001</v>
      </c>
      <c r="X294" t="s">
        <v>91</v>
      </c>
      <c r="Y294">
        <v>0.75</v>
      </c>
      <c r="AA294">
        <v>0</v>
      </c>
      <c r="BF294" s="4">
        <v>7861.37</v>
      </c>
      <c r="BG294" s="4"/>
      <c r="BH294" s="4">
        <v>55030</v>
      </c>
    </row>
    <row r="295" spans="6:60" hidden="1">
      <c r="F295" s="2" t="s">
        <v>415</v>
      </c>
      <c r="J295" t="s">
        <v>89</v>
      </c>
      <c r="K295" s="2" t="s">
        <v>391</v>
      </c>
      <c r="O295" s="3">
        <f t="shared" si="8"/>
        <v>2.09</v>
      </c>
      <c r="P295" s="4">
        <v>0.05</v>
      </c>
      <c r="Q295">
        <f t="shared" si="9"/>
        <v>0.01</v>
      </c>
      <c r="R295" s="4">
        <v>2.08</v>
      </c>
      <c r="S295">
        <v>1</v>
      </c>
      <c r="V295">
        <v>1</v>
      </c>
      <c r="W295" s="4">
        <v>2.08</v>
      </c>
      <c r="X295" t="s">
        <v>91</v>
      </c>
      <c r="Y295">
        <v>0.75</v>
      </c>
      <c r="AA295">
        <v>0</v>
      </c>
      <c r="BF295" s="4">
        <v>930.75</v>
      </c>
      <c r="BG295" s="4"/>
      <c r="BH295" s="4">
        <v>6516</v>
      </c>
    </row>
    <row r="296" spans="6:60" hidden="1">
      <c r="F296" s="2" t="s">
        <v>416</v>
      </c>
      <c r="J296" t="s">
        <v>89</v>
      </c>
      <c r="K296" s="2" t="s">
        <v>391</v>
      </c>
      <c r="O296" s="3">
        <f t="shared" si="8"/>
        <v>1.9691999999999998</v>
      </c>
      <c r="P296" s="4">
        <v>0.39600000000000002</v>
      </c>
      <c r="Q296">
        <f t="shared" si="9"/>
        <v>7.9200000000000007E-2</v>
      </c>
      <c r="R296" s="4">
        <v>1.89</v>
      </c>
      <c r="S296">
        <v>1</v>
      </c>
      <c r="V296">
        <v>1</v>
      </c>
      <c r="W296" s="4">
        <v>1.89</v>
      </c>
      <c r="X296" t="s">
        <v>91</v>
      </c>
      <c r="Y296">
        <v>0.75</v>
      </c>
      <c r="AA296">
        <v>0</v>
      </c>
      <c r="BF296" s="4">
        <v>1332.25</v>
      </c>
      <c r="BG296" s="4"/>
      <c r="BH296" s="4">
        <v>9330</v>
      </c>
    </row>
    <row r="297" spans="6:60" hidden="1">
      <c r="F297" s="2" t="s">
        <v>417</v>
      </c>
      <c r="J297" t="s">
        <v>89</v>
      </c>
      <c r="K297" s="2" t="s">
        <v>391</v>
      </c>
      <c r="O297" s="3">
        <f t="shared" si="8"/>
        <v>1.6624000000000001</v>
      </c>
      <c r="P297" s="4">
        <v>0.41199999999999998</v>
      </c>
      <c r="Q297">
        <f t="shared" si="9"/>
        <v>8.2400000000000001E-2</v>
      </c>
      <c r="R297" s="4">
        <v>1.58</v>
      </c>
      <c r="S297">
        <v>1</v>
      </c>
      <c r="V297">
        <v>1</v>
      </c>
      <c r="W297" s="4">
        <v>1.58</v>
      </c>
      <c r="X297" t="s">
        <v>91</v>
      </c>
      <c r="Y297">
        <v>0.75</v>
      </c>
      <c r="AA297">
        <v>0</v>
      </c>
      <c r="BF297" s="4">
        <v>1368.75</v>
      </c>
      <c r="BG297" s="4"/>
      <c r="BH297" s="4">
        <v>9585</v>
      </c>
    </row>
    <row r="298" spans="6:60" hidden="1">
      <c r="F298" s="2" t="s">
        <v>418</v>
      </c>
      <c r="J298" t="s">
        <v>89</v>
      </c>
      <c r="K298" s="2" t="s">
        <v>391</v>
      </c>
      <c r="O298" s="3">
        <f t="shared" si="8"/>
        <v>3.0301999999999998</v>
      </c>
      <c r="P298" s="4">
        <v>1.2509999999999999</v>
      </c>
      <c r="Q298">
        <f t="shared" si="9"/>
        <v>0.25019999999999998</v>
      </c>
      <c r="R298" s="4">
        <v>2.78</v>
      </c>
      <c r="S298">
        <v>1</v>
      </c>
      <c r="V298">
        <v>1</v>
      </c>
      <c r="W298" s="4">
        <v>2.78</v>
      </c>
      <c r="X298" t="s">
        <v>91</v>
      </c>
      <c r="Y298">
        <v>0.75</v>
      </c>
      <c r="AA298">
        <v>0</v>
      </c>
      <c r="BF298" s="4">
        <v>4106.25</v>
      </c>
      <c r="BG298" s="4"/>
      <c r="BH298" s="4">
        <v>28750</v>
      </c>
    </row>
    <row r="299" spans="6:60" hidden="1">
      <c r="F299" s="2" t="s">
        <v>419</v>
      </c>
      <c r="J299" t="s">
        <v>89</v>
      </c>
      <c r="K299" s="2" t="s">
        <v>391</v>
      </c>
      <c r="O299" s="3">
        <f t="shared" si="8"/>
        <v>20.580000000000002</v>
      </c>
      <c r="P299" s="4">
        <v>6.75</v>
      </c>
      <c r="Q299">
        <f t="shared" si="9"/>
        <v>1.35</v>
      </c>
      <c r="R299" s="4">
        <v>19.23</v>
      </c>
      <c r="S299">
        <v>1</v>
      </c>
      <c r="V299">
        <v>1</v>
      </c>
      <c r="W299" s="4">
        <v>19.23</v>
      </c>
      <c r="X299" t="s">
        <v>91</v>
      </c>
      <c r="Y299">
        <v>0.75</v>
      </c>
      <c r="AA299">
        <v>0</v>
      </c>
      <c r="BF299" s="4">
        <v>22000</v>
      </c>
      <c r="BG299" s="4"/>
      <c r="BH299" s="4">
        <v>110000</v>
      </c>
    </row>
    <row r="300" spans="6:60" hidden="1">
      <c r="F300" s="2" t="s">
        <v>420</v>
      </c>
      <c r="J300" t="s">
        <v>89</v>
      </c>
      <c r="K300" s="2" t="s">
        <v>391</v>
      </c>
      <c r="O300" s="3">
        <f t="shared" si="8"/>
        <v>3.774</v>
      </c>
      <c r="P300" s="4">
        <v>0.32</v>
      </c>
      <c r="Q300">
        <f t="shared" si="9"/>
        <v>6.4000000000000001E-2</v>
      </c>
      <c r="R300" s="4">
        <v>3.71</v>
      </c>
      <c r="S300">
        <v>1</v>
      </c>
      <c r="V300">
        <v>1</v>
      </c>
      <c r="W300" s="4">
        <v>3.71</v>
      </c>
      <c r="X300" t="s">
        <v>91</v>
      </c>
      <c r="Y300">
        <v>0.75</v>
      </c>
      <c r="AA300">
        <v>0</v>
      </c>
      <c r="BF300" s="4">
        <v>1989</v>
      </c>
      <c r="BG300" s="4"/>
      <c r="BH300" s="4">
        <v>13924</v>
      </c>
    </row>
    <row r="301" spans="6:60" hidden="1">
      <c r="F301" s="2" t="s">
        <v>421</v>
      </c>
      <c r="J301" t="s">
        <v>89</v>
      </c>
      <c r="K301" s="2" t="s">
        <v>391</v>
      </c>
      <c r="O301" s="3">
        <f t="shared" si="8"/>
        <v>3.7520000000000002</v>
      </c>
      <c r="P301" s="4">
        <v>0.26</v>
      </c>
      <c r="Q301">
        <f t="shared" si="9"/>
        <v>5.2000000000000005E-2</v>
      </c>
      <c r="R301" s="4">
        <v>3.7</v>
      </c>
      <c r="S301">
        <v>1</v>
      </c>
      <c r="V301">
        <v>1</v>
      </c>
      <c r="W301" s="4">
        <v>3.7</v>
      </c>
      <c r="X301" t="s">
        <v>91</v>
      </c>
      <c r="Y301">
        <v>0.75</v>
      </c>
      <c r="AA301">
        <v>0</v>
      </c>
      <c r="BF301" s="4">
        <v>2245</v>
      </c>
      <c r="BG301" s="4"/>
      <c r="BH301" s="4">
        <v>15000</v>
      </c>
    </row>
    <row r="302" spans="6:60" hidden="1">
      <c r="F302" s="2" t="s">
        <v>422</v>
      </c>
      <c r="J302" t="s">
        <v>89</v>
      </c>
      <c r="K302" s="2" t="s">
        <v>391</v>
      </c>
      <c r="O302" s="3">
        <f t="shared" si="8"/>
        <v>2.5759999999999996</v>
      </c>
      <c r="P302" s="4">
        <v>0.33</v>
      </c>
      <c r="Q302">
        <f t="shared" si="9"/>
        <v>6.6000000000000003E-2</v>
      </c>
      <c r="R302" s="4">
        <v>2.5099999999999998</v>
      </c>
      <c r="S302">
        <v>1</v>
      </c>
      <c r="V302">
        <v>1</v>
      </c>
      <c r="W302" s="4">
        <v>2.5099999999999998</v>
      </c>
      <c r="X302" t="s">
        <v>91</v>
      </c>
      <c r="Y302">
        <v>0.75</v>
      </c>
      <c r="AA302">
        <v>0</v>
      </c>
      <c r="BF302" s="4">
        <v>1562.2</v>
      </c>
      <c r="BG302" s="4"/>
      <c r="BH302" s="4">
        <v>10935.4</v>
      </c>
    </row>
    <row r="303" spans="6:60" hidden="1">
      <c r="F303" s="2" t="s">
        <v>423</v>
      </c>
      <c r="J303" t="s">
        <v>89</v>
      </c>
      <c r="K303" s="2" t="s">
        <v>391</v>
      </c>
      <c r="O303" s="3">
        <f t="shared" si="8"/>
        <v>2.544</v>
      </c>
      <c r="P303" s="4">
        <v>0.56999999999999995</v>
      </c>
      <c r="Q303">
        <f t="shared" si="9"/>
        <v>0.11399999999999999</v>
      </c>
      <c r="R303" s="4">
        <v>2.4300000000000002</v>
      </c>
      <c r="S303">
        <v>1</v>
      </c>
      <c r="V303">
        <v>1</v>
      </c>
      <c r="W303" s="4">
        <v>2.4300000000000002</v>
      </c>
      <c r="X303" t="s">
        <v>91</v>
      </c>
      <c r="Y303">
        <v>0.75</v>
      </c>
      <c r="AA303">
        <v>0</v>
      </c>
      <c r="BF303" s="4">
        <v>2339.65</v>
      </c>
      <c r="BG303" s="4"/>
      <c r="BH303" s="4">
        <v>16377.55</v>
      </c>
    </row>
    <row r="304" spans="6:60" hidden="1">
      <c r="F304" s="2" t="s">
        <v>424</v>
      </c>
      <c r="J304" t="s">
        <v>89</v>
      </c>
      <c r="K304" s="2" t="s">
        <v>391</v>
      </c>
      <c r="O304" s="3">
        <f t="shared" si="8"/>
        <v>2.21</v>
      </c>
      <c r="P304" s="4">
        <v>0.35</v>
      </c>
      <c r="Q304">
        <f t="shared" si="9"/>
        <v>6.9999999999999993E-2</v>
      </c>
      <c r="R304" s="4">
        <v>2.14</v>
      </c>
      <c r="S304">
        <v>1</v>
      </c>
      <c r="V304">
        <v>1</v>
      </c>
      <c r="W304" s="4">
        <v>2.14</v>
      </c>
      <c r="X304" t="s">
        <v>91</v>
      </c>
      <c r="Y304">
        <v>0.75</v>
      </c>
      <c r="AA304">
        <v>0</v>
      </c>
      <c r="BF304" s="4">
        <v>620.5</v>
      </c>
      <c r="BG304" s="4"/>
      <c r="BH304" s="4">
        <v>4345</v>
      </c>
    </row>
    <row r="305" spans="6:60" hidden="1">
      <c r="F305" s="2" t="s">
        <v>425</v>
      </c>
      <c r="J305" t="s">
        <v>89</v>
      </c>
      <c r="K305" s="2" t="s">
        <v>391</v>
      </c>
      <c r="O305" s="3">
        <f t="shared" si="8"/>
        <v>2.0479999999999996</v>
      </c>
      <c r="P305" s="4">
        <v>0.09</v>
      </c>
      <c r="Q305">
        <f t="shared" si="9"/>
        <v>1.7999999999999999E-2</v>
      </c>
      <c r="R305" s="4">
        <v>2.0299999999999998</v>
      </c>
      <c r="S305">
        <v>1</v>
      </c>
      <c r="V305">
        <v>1</v>
      </c>
      <c r="W305" s="4">
        <v>2.0299999999999998</v>
      </c>
      <c r="X305" t="s">
        <v>91</v>
      </c>
      <c r="Y305">
        <v>0.75</v>
      </c>
      <c r="AA305">
        <v>0</v>
      </c>
      <c r="BF305" s="4">
        <v>503.7</v>
      </c>
      <c r="BG305" s="4"/>
      <c r="BH305" s="4">
        <v>3526</v>
      </c>
    </row>
    <row r="306" spans="6:60" hidden="1">
      <c r="F306" s="2" t="s">
        <v>426</v>
      </c>
      <c r="J306" t="s">
        <v>89</v>
      </c>
      <c r="K306" s="2" t="s">
        <v>391</v>
      </c>
      <c r="O306" s="3">
        <f t="shared" si="8"/>
        <v>2.4019999999999997</v>
      </c>
      <c r="P306" s="4">
        <v>0.21</v>
      </c>
      <c r="Q306">
        <f t="shared" si="9"/>
        <v>4.1999999999999996E-2</v>
      </c>
      <c r="R306" s="4">
        <v>2.36</v>
      </c>
      <c r="S306">
        <v>1</v>
      </c>
      <c r="V306">
        <v>1</v>
      </c>
      <c r="W306" s="4">
        <v>2.36</v>
      </c>
      <c r="X306" t="s">
        <v>91</v>
      </c>
      <c r="Y306">
        <v>0.75</v>
      </c>
      <c r="AA306">
        <v>0</v>
      </c>
      <c r="BF306" s="4">
        <v>649.70000000000005</v>
      </c>
      <c r="BG306" s="4"/>
      <c r="BH306" s="4">
        <v>4550</v>
      </c>
    </row>
    <row r="307" spans="6:60" hidden="1">
      <c r="F307" s="2" t="s">
        <v>427</v>
      </c>
      <c r="J307" t="s">
        <v>89</v>
      </c>
      <c r="K307" s="2" t="s">
        <v>391</v>
      </c>
      <c r="O307" s="3">
        <f t="shared" si="8"/>
        <v>2.7120000000000002</v>
      </c>
      <c r="P307" s="4">
        <v>0.76</v>
      </c>
      <c r="Q307">
        <f t="shared" si="9"/>
        <v>0.152</v>
      </c>
      <c r="R307" s="4">
        <v>2.56</v>
      </c>
      <c r="S307">
        <v>1</v>
      </c>
      <c r="V307">
        <v>1</v>
      </c>
      <c r="W307" s="4">
        <v>2.56</v>
      </c>
      <c r="X307" t="s">
        <v>91</v>
      </c>
      <c r="Y307">
        <v>0.75</v>
      </c>
      <c r="AA307">
        <v>0</v>
      </c>
      <c r="BF307" s="4">
        <v>1470</v>
      </c>
      <c r="BG307" s="4"/>
      <c r="BH307" s="4">
        <v>8800</v>
      </c>
    </row>
    <row r="308" spans="6:60" hidden="1">
      <c r="F308" s="2" t="s">
        <v>428</v>
      </c>
      <c r="J308" t="s">
        <v>89</v>
      </c>
      <c r="K308" s="2" t="s">
        <v>391</v>
      </c>
      <c r="O308" s="3">
        <f t="shared" si="8"/>
        <v>13.186</v>
      </c>
      <c r="P308" s="4">
        <v>4.28</v>
      </c>
      <c r="Q308">
        <f t="shared" si="9"/>
        <v>0.85600000000000009</v>
      </c>
      <c r="R308" s="4">
        <v>12.33</v>
      </c>
      <c r="S308">
        <v>1</v>
      </c>
      <c r="V308">
        <v>1</v>
      </c>
      <c r="W308" s="4">
        <v>12.33</v>
      </c>
      <c r="X308" t="s">
        <v>91</v>
      </c>
      <c r="Y308">
        <v>0.75</v>
      </c>
      <c r="AA308">
        <v>0</v>
      </c>
      <c r="BF308" s="4">
        <v>8227</v>
      </c>
      <c r="BG308" s="4"/>
      <c r="BH308" s="4">
        <v>57588</v>
      </c>
    </row>
    <row r="309" spans="6:60" hidden="1">
      <c r="F309" s="2" t="s">
        <v>429</v>
      </c>
      <c r="J309" t="s">
        <v>89</v>
      </c>
      <c r="K309" s="2" t="s">
        <v>391</v>
      </c>
      <c r="O309" s="3">
        <f t="shared" si="8"/>
        <v>5.2679999999999998</v>
      </c>
      <c r="P309" s="4">
        <v>0.34</v>
      </c>
      <c r="Q309">
        <f t="shared" si="9"/>
        <v>6.8000000000000005E-2</v>
      </c>
      <c r="R309" s="4">
        <v>5.2</v>
      </c>
      <c r="S309">
        <v>1</v>
      </c>
      <c r="V309">
        <v>1</v>
      </c>
      <c r="W309" s="4">
        <v>5.2</v>
      </c>
      <c r="X309" t="s">
        <v>91</v>
      </c>
      <c r="Y309">
        <v>0.75</v>
      </c>
      <c r="AA309">
        <v>0</v>
      </c>
      <c r="BF309" s="4">
        <v>2493</v>
      </c>
      <c r="BG309" s="4"/>
      <c r="BH309" s="4">
        <v>17450</v>
      </c>
    </row>
    <row r="310" spans="6:60" hidden="1">
      <c r="F310" s="2" t="s">
        <v>430</v>
      </c>
      <c r="J310" t="s">
        <v>89</v>
      </c>
      <c r="K310" s="2" t="s">
        <v>391</v>
      </c>
      <c r="O310" s="3">
        <f t="shared" si="8"/>
        <v>1.8880000000000001</v>
      </c>
      <c r="P310" s="4">
        <v>0.44</v>
      </c>
      <c r="Q310">
        <f t="shared" si="9"/>
        <v>8.7999999999999995E-2</v>
      </c>
      <c r="R310" s="4">
        <v>1.8</v>
      </c>
      <c r="S310">
        <v>1</v>
      </c>
      <c r="V310">
        <v>1</v>
      </c>
      <c r="W310" s="4">
        <v>1.8</v>
      </c>
      <c r="X310" t="s">
        <v>91</v>
      </c>
      <c r="Y310">
        <v>0.75</v>
      </c>
      <c r="AA310">
        <v>0</v>
      </c>
      <c r="BF310" s="4">
        <v>2012.56</v>
      </c>
      <c r="BG310" s="4"/>
      <c r="BH310" s="4">
        <v>14087.92</v>
      </c>
    </row>
    <row r="311" spans="6:60" hidden="1">
      <c r="F311" s="2" t="s">
        <v>431</v>
      </c>
      <c r="J311" t="s">
        <v>89</v>
      </c>
      <c r="K311" s="2" t="s">
        <v>391</v>
      </c>
      <c r="O311" s="3">
        <f t="shared" si="8"/>
        <v>4.25</v>
      </c>
      <c r="P311" s="4">
        <v>0.25</v>
      </c>
      <c r="Q311">
        <f t="shared" si="9"/>
        <v>0.05</v>
      </c>
      <c r="R311" s="4">
        <v>4.2</v>
      </c>
      <c r="S311">
        <v>1</v>
      </c>
      <c r="V311">
        <v>1</v>
      </c>
      <c r="W311" s="4">
        <v>4.2</v>
      </c>
      <c r="X311" t="s">
        <v>91</v>
      </c>
      <c r="Y311">
        <v>0.75</v>
      </c>
      <c r="AA311">
        <v>0</v>
      </c>
      <c r="BF311" s="4">
        <v>2332.65</v>
      </c>
      <c r="BG311" s="4"/>
      <c r="BH311" s="4">
        <v>16258.54</v>
      </c>
    </row>
    <row r="312" spans="6:60" hidden="1">
      <c r="F312" s="2" t="s">
        <v>432</v>
      </c>
      <c r="J312" t="s">
        <v>89</v>
      </c>
      <c r="K312" s="2" t="s">
        <v>391</v>
      </c>
      <c r="O312" s="3">
        <f t="shared" si="8"/>
        <v>2.14</v>
      </c>
      <c r="P312" s="4">
        <v>0.2</v>
      </c>
      <c r="Q312">
        <f t="shared" si="9"/>
        <v>0.04</v>
      </c>
      <c r="R312" s="4">
        <v>2.1</v>
      </c>
      <c r="S312">
        <v>1</v>
      </c>
      <c r="V312">
        <v>1</v>
      </c>
      <c r="W312" s="4">
        <v>2.1</v>
      </c>
      <c r="X312" t="s">
        <v>91</v>
      </c>
      <c r="Y312">
        <v>0.75</v>
      </c>
      <c r="AA312">
        <v>0</v>
      </c>
      <c r="BF312" s="4">
        <v>1230.43</v>
      </c>
      <c r="BG312" s="4"/>
      <c r="BH312" s="4">
        <v>8613</v>
      </c>
    </row>
    <row r="313" spans="6:60" hidden="1">
      <c r="F313" s="2" t="s">
        <v>433</v>
      </c>
      <c r="J313" t="s">
        <v>89</v>
      </c>
      <c r="K313" s="2" t="s">
        <v>391</v>
      </c>
      <c r="O313" s="3">
        <f t="shared" si="8"/>
        <v>10</v>
      </c>
      <c r="P313" s="4">
        <v>1.5</v>
      </c>
      <c r="Q313">
        <f t="shared" si="9"/>
        <v>0.3</v>
      </c>
      <c r="R313" s="4">
        <v>9.6999999999999993</v>
      </c>
      <c r="S313">
        <v>1</v>
      </c>
      <c r="V313">
        <v>1</v>
      </c>
      <c r="W313" s="4">
        <v>9.6999999999999993</v>
      </c>
      <c r="X313" t="s">
        <v>91</v>
      </c>
      <c r="Y313">
        <v>0.75</v>
      </c>
      <c r="AA313">
        <v>0</v>
      </c>
      <c r="BF313" s="4">
        <v>6490</v>
      </c>
      <c r="BG313" s="4"/>
      <c r="BH313" s="4">
        <v>45430</v>
      </c>
    </row>
    <row r="314" spans="6:60" hidden="1">
      <c r="F314" s="2" t="s">
        <v>434</v>
      </c>
      <c r="J314" t="s">
        <v>89</v>
      </c>
      <c r="K314" s="2" t="s">
        <v>391</v>
      </c>
      <c r="O314" s="3">
        <f t="shared" si="8"/>
        <v>4.3860000000000001</v>
      </c>
      <c r="P314" s="4">
        <v>0.23</v>
      </c>
      <c r="Q314">
        <f t="shared" si="9"/>
        <v>4.5999999999999999E-2</v>
      </c>
      <c r="R314" s="4">
        <v>4.34</v>
      </c>
      <c r="S314">
        <v>1</v>
      </c>
      <c r="V314">
        <v>1</v>
      </c>
      <c r="W314" s="4">
        <v>4.34</v>
      </c>
      <c r="X314" t="s">
        <v>91</v>
      </c>
      <c r="Y314">
        <v>0.75</v>
      </c>
      <c r="AA314">
        <v>0</v>
      </c>
      <c r="BF314" s="4">
        <v>2516</v>
      </c>
      <c r="BG314" s="4"/>
      <c r="BH314" s="4">
        <v>14500</v>
      </c>
    </row>
    <row r="315" spans="6:60" hidden="1">
      <c r="F315" s="2" t="s">
        <v>435</v>
      </c>
      <c r="J315" t="s">
        <v>89</v>
      </c>
      <c r="K315" s="2" t="s">
        <v>436</v>
      </c>
      <c r="O315" s="3">
        <f t="shared" si="8"/>
        <v>1.8580000000000001</v>
      </c>
      <c r="P315" s="4">
        <v>0.64</v>
      </c>
      <c r="Q315">
        <f t="shared" si="9"/>
        <v>0.128</v>
      </c>
      <c r="R315" s="4">
        <v>1.73</v>
      </c>
      <c r="S315">
        <v>1</v>
      </c>
      <c r="V315">
        <v>1</v>
      </c>
      <c r="W315" s="4">
        <v>1.73</v>
      </c>
      <c r="X315" t="s">
        <v>91</v>
      </c>
      <c r="Y315">
        <v>0.75</v>
      </c>
      <c r="AA315">
        <v>0</v>
      </c>
      <c r="BF315" s="4">
        <v>1356.34</v>
      </c>
      <c r="BG315" s="4"/>
      <c r="BH315" s="4">
        <v>9494.3700000000008</v>
      </c>
    </row>
    <row r="316" spans="6:60" hidden="1">
      <c r="F316" s="2" t="s">
        <v>437</v>
      </c>
      <c r="J316" t="s">
        <v>89</v>
      </c>
      <c r="K316" s="2" t="s">
        <v>436</v>
      </c>
      <c r="O316" s="3">
        <f t="shared" si="8"/>
        <v>2.4459999999999997</v>
      </c>
      <c r="P316" s="4">
        <v>0.23</v>
      </c>
      <c r="Q316">
        <f t="shared" si="9"/>
        <v>4.5999999999999999E-2</v>
      </c>
      <c r="R316" s="4">
        <v>2.4</v>
      </c>
      <c r="S316">
        <v>1</v>
      </c>
      <c r="V316">
        <v>1</v>
      </c>
      <c r="W316" s="4">
        <v>2.4</v>
      </c>
      <c r="X316" t="s">
        <v>91</v>
      </c>
      <c r="Y316">
        <v>0.75</v>
      </c>
      <c r="AA316">
        <v>0</v>
      </c>
      <c r="BF316" s="4">
        <v>1226.1099999999999</v>
      </c>
      <c r="BG316" s="4"/>
      <c r="BH316" s="4">
        <v>8582.77</v>
      </c>
    </row>
    <row r="317" spans="6:60" hidden="1">
      <c r="F317" s="2" t="s">
        <v>438</v>
      </c>
      <c r="J317" t="s">
        <v>89</v>
      </c>
      <c r="K317" s="2" t="s">
        <v>436</v>
      </c>
      <c r="O317" s="3">
        <f t="shared" si="8"/>
        <v>3.0259999999999998</v>
      </c>
      <c r="P317" s="4">
        <v>0.43</v>
      </c>
      <c r="Q317">
        <f t="shared" si="9"/>
        <v>8.5999999999999993E-2</v>
      </c>
      <c r="R317" s="4">
        <v>2.94</v>
      </c>
      <c r="S317">
        <v>1</v>
      </c>
      <c r="V317">
        <v>1</v>
      </c>
      <c r="W317" s="4">
        <v>2.94</v>
      </c>
      <c r="X317" t="s">
        <v>91</v>
      </c>
      <c r="Y317">
        <v>0.75</v>
      </c>
      <c r="AA317">
        <v>0</v>
      </c>
      <c r="BF317" s="4">
        <v>1246.46</v>
      </c>
      <c r="BG317" s="4"/>
      <c r="BH317" s="4">
        <v>8725.23</v>
      </c>
    </row>
    <row r="318" spans="6:60" hidden="1">
      <c r="F318" s="2" t="s">
        <v>439</v>
      </c>
      <c r="J318" t="s">
        <v>89</v>
      </c>
      <c r="K318" s="2" t="s">
        <v>436</v>
      </c>
      <c r="O318" s="3">
        <f t="shared" si="8"/>
        <v>0.98199999999999998</v>
      </c>
      <c r="P318" s="4">
        <v>0.01</v>
      </c>
      <c r="Q318">
        <f t="shared" si="9"/>
        <v>2E-3</v>
      </c>
      <c r="R318" s="4">
        <v>0.98</v>
      </c>
      <c r="S318">
        <v>1</v>
      </c>
      <c r="V318">
        <v>1</v>
      </c>
      <c r="W318" s="4">
        <v>0.98</v>
      </c>
      <c r="X318" t="s">
        <v>91</v>
      </c>
      <c r="Y318">
        <v>0.75</v>
      </c>
      <c r="AA318">
        <v>0</v>
      </c>
      <c r="BF318" s="4">
        <v>500</v>
      </c>
      <c r="BG318" s="4"/>
      <c r="BH318" s="4">
        <v>3500</v>
      </c>
    </row>
    <row r="319" spans="6:60" hidden="1">
      <c r="F319" s="2" t="s">
        <v>440</v>
      </c>
      <c r="J319" t="s">
        <v>89</v>
      </c>
      <c r="K319" s="2" t="s">
        <v>436</v>
      </c>
      <c r="O319" s="3">
        <f t="shared" si="8"/>
        <v>1.8099999999999998</v>
      </c>
      <c r="P319" s="4">
        <v>0.75</v>
      </c>
      <c r="Q319">
        <f t="shared" si="9"/>
        <v>0.15</v>
      </c>
      <c r="R319" s="4">
        <v>1.66</v>
      </c>
      <c r="S319">
        <v>1</v>
      </c>
      <c r="V319">
        <v>1</v>
      </c>
      <c r="W319" s="4">
        <v>1.66</v>
      </c>
      <c r="X319" t="s">
        <v>91</v>
      </c>
      <c r="Y319">
        <v>0.75</v>
      </c>
      <c r="AA319">
        <v>0</v>
      </c>
      <c r="BF319" s="4">
        <v>1624.25</v>
      </c>
      <c r="BG319" s="4"/>
      <c r="BH319" s="4">
        <v>11370</v>
      </c>
    </row>
    <row r="320" spans="6:60" hidden="1">
      <c r="F320" s="2" t="s">
        <v>441</v>
      </c>
      <c r="J320" t="s">
        <v>89</v>
      </c>
      <c r="K320" s="2" t="s">
        <v>436</v>
      </c>
      <c r="O320" s="3">
        <f t="shared" si="8"/>
        <v>3.4159999999999999</v>
      </c>
      <c r="P320" s="4">
        <v>1.83</v>
      </c>
      <c r="Q320">
        <f t="shared" si="9"/>
        <v>0.36599999999999999</v>
      </c>
      <c r="R320" s="4">
        <v>3.05</v>
      </c>
      <c r="S320">
        <v>1</v>
      </c>
      <c r="V320">
        <v>1</v>
      </c>
      <c r="W320" s="4">
        <v>3.05</v>
      </c>
      <c r="X320" t="s">
        <v>91</v>
      </c>
      <c r="Y320">
        <v>0.75</v>
      </c>
      <c r="AA320">
        <v>0</v>
      </c>
      <c r="BF320" s="4">
        <v>5475</v>
      </c>
      <c r="BG320" s="4"/>
      <c r="BH320" s="4">
        <v>38300</v>
      </c>
    </row>
    <row r="321" spans="6:60" hidden="1">
      <c r="F321" s="2" t="s">
        <v>442</v>
      </c>
      <c r="J321" t="s">
        <v>89</v>
      </c>
      <c r="K321" s="2" t="s">
        <v>443</v>
      </c>
      <c r="O321" s="3">
        <f t="shared" si="8"/>
        <v>0.96260000000000001</v>
      </c>
      <c r="P321" s="4">
        <v>0.36299999999999999</v>
      </c>
      <c r="Q321">
        <f t="shared" si="9"/>
        <v>7.2599999999999998E-2</v>
      </c>
      <c r="R321" s="4">
        <v>0.89</v>
      </c>
      <c r="S321">
        <v>1</v>
      </c>
      <c r="V321">
        <v>1</v>
      </c>
      <c r="W321" s="4">
        <v>0.89</v>
      </c>
      <c r="X321" t="s">
        <v>91</v>
      </c>
      <c r="Y321">
        <v>0.75</v>
      </c>
      <c r="AA321">
        <v>0</v>
      </c>
      <c r="BF321" s="4">
        <v>821.25</v>
      </c>
      <c r="BG321" s="4"/>
      <c r="BH321" s="4">
        <v>5750</v>
      </c>
    </row>
    <row r="322" spans="6:60" hidden="1">
      <c r="F322" s="2" t="s">
        <v>444</v>
      </c>
      <c r="J322" t="s">
        <v>89</v>
      </c>
      <c r="K322" s="2" t="s">
        <v>443</v>
      </c>
      <c r="O322" s="3">
        <f t="shared" si="8"/>
        <v>0.67200000000000004</v>
      </c>
      <c r="P322" s="4">
        <v>0.11</v>
      </c>
      <c r="Q322">
        <f t="shared" si="9"/>
        <v>2.1999999999999999E-2</v>
      </c>
      <c r="R322" s="4">
        <v>0.65</v>
      </c>
      <c r="S322">
        <v>1</v>
      </c>
      <c r="V322">
        <v>1</v>
      </c>
      <c r="W322" s="4">
        <v>0.65</v>
      </c>
      <c r="X322" t="s">
        <v>91</v>
      </c>
      <c r="Y322">
        <v>0.75</v>
      </c>
      <c r="AA322">
        <v>0</v>
      </c>
      <c r="BF322" s="4">
        <v>638.75</v>
      </c>
      <c r="BG322" s="4"/>
      <c r="BH322" s="4">
        <v>4471.25</v>
      </c>
    </row>
    <row r="323" spans="6:60" hidden="1">
      <c r="F323" s="2" t="s">
        <v>445</v>
      </c>
      <c r="J323" t="s">
        <v>89</v>
      </c>
      <c r="K323" s="2" t="s">
        <v>443</v>
      </c>
      <c r="O323" s="3">
        <f t="shared" ref="O323:O386" si="10">Q323+R323</f>
        <v>2.9279999999999999</v>
      </c>
      <c r="P323" s="4">
        <v>0.39</v>
      </c>
      <c r="Q323">
        <f t="shared" ref="Q323:Q386" si="11">P323/5</f>
        <v>7.8E-2</v>
      </c>
      <c r="R323" s="4">
        <v>2.85</v>
      </c>
      <c r="S323">
        <v>1</v>
      </c>
      <c r="V323">
        <v>1</v>
      </c>
      <c r="W323" s="4">
        <v>2.85</v>
      </c>
      <c r="X323" t="s">
        <v>91</v>
      </c>
      <c r="Y323">
        <v>0.75</v>
      </c>
      <c r="AA323">
        <v>0</v>
      </c>
      <c r="BF323" s="4">
        <v>5090</v>
      </c>
      <c r="BG323" s="4"/>
      <c r="BH323" s="4">
        <v>35630</v>
      </c>
    </row>
    <row r="324" spans="6:60" hidden="1">
      <c r="F324" s="2" t="s">
        <v>446</v>
      </c>
      <c r="J324" t="s">
        <v>89</v>
      </c>
      <c r="K324" s="2" t="s">
        <v>447</v>
      </c>
      <c r="O324" s="3">
        <f t="shared" si="10"/>
        <v>1.7511999999999999</v>
      </c>
      <c r="P324" s="4">
        <v>0.35599999999999998</v>
      </c>
      <c r="Q324">
        <f t="shared" si="11"/>
        <v>7.1199999999999999E-2</v>
      </c>
      <c r="R324" s="4">
        <v>1.68</v>
      </c>
      <c r="S324">
        <v>1</v>
      </c>
      <c r="V324">
        <v>1</v>
      </c>
      <c r="W324" s="4">
        <v>1.68</v>
      </c>
      <c r="X324" t="s">
        <v>91</v>
      </c>
      <c r="Y324">
        <v>0.75</v>
      </c>
      <c r="AA324">
        <v>0</v>
      </c>
      <c r="BF324" s="4">
        <v>1149.75</v>
      </c>
      <c r="BG324" s="4"/>
      <c r="BH324" s="4">
        <v>8050</v>
      </c>
    </row>
    <row r="325" spans="6:60" hidden="1">
      <c r="F325" s="2" t="s">
        <v>448</v>
      </c>
      <c r="J325" t="s">
        <v>89</v>
      </c>
      <c r="K325" s="2" t="s">
        <v>447</v>
      </c>
      <c r="O325" s="3">
        <f t="shared" si="10"/>
        <v>1.8676000000000001</v>
      </c>
      <c r="P325" s="4">
        <v>0.28799999999999998</v>
      </c>
      <c r="Q325">
        <f t="shared" si="11"/>
        <v>5.7599999999999998E-2</v>
      </c>
      <c r="R325" s="4">
        <v>1.81</v>
      </c>
      <c r="S325">
        <v>1</v>
      </c>
      <c r="V325">
        <v>1</v>
      </c>
      <c r="W325" s="4">
        <v>1.81</v>
      </c>
      <c r="X325" t="s">
        <v>91</v>
      </c>
      <c r="Y325">
        <v>0.75</v>
      </c>
      <c r="AA325">
        <v>0</v>
      </c>
      <c r="BF325" s="4">
        <v>1168</v>
      </c>
      <c r="BG325" s="4"/>
      <c r="BH325" s="4">
        <v>8176</v>
      </c>
    </row>
    <row r="326" spans="6:60" hidden="1">
      <c r="F326" s="2" t="s">
        <v>449</v>
      </c>
      <c r="J326" t="s">
        <v>89</v>
      </c>
      <c r="K326" s="2" t="s">
        <v>447</v>
      </c>
      <c r="O326" s="3">
        <f t="shared" si="10"/>
        <v>1.9450000000000001</v>
      </c>
      <c r="P326" s="4">
        <v>0.42499999999999999</v>
      </c>
      <c r="Q326">
        <f t="shared" si="11"/>
        <v>8.4999999999999992E-2</v>
      </c>
      <c r="R326" s="4">
        <v>1.86</v>
      </c>
      <c r="S326">
        <v>1</v>
      </c>
      <c r="V326">
        <v>1</v>
      </c>
      <c r="W326" s="4">
        <v>1.86</v>
      </c>
      <c r="X326" t="s">
        <v>91</v>
      </c>
      <c r="Y326">
        <v>0.75</v>
      </c>
      <c r="AA326">
        <v>0</v>
      </c>
      <c r="BF326" s="4">
        <v>1222.75</v>
      </c>
      <c r="BG326" s="4"/>
      <c r="BH326" s="4">
        <v>8560</v>
      </c>
    </row>
    <row r="327" spans="6:60" hidden="1">
      <c r="F327" s="2" t="s">
        <v>450</v>
      </c>
      <c r="J327" t="s">
        <v>89</v>
      </c>
      <c r="K327" s="2" t="s">
        <v>447</v>
      </c>
      <c r="O327" s="3">
        <f t="shared" si="10"/>
        <v>2.4279999999999999</v>
      </c>
      <c r="P327" s="4">
        <v>0.14000000000000001</v>
      </c>
      <c r="Q327">
        <f t="shared" si="11"/>
        <v>2.8000000000000004E-2</v>
      </c>
      <c r="R327" s="4">
        <v>2.4</v>
      </c>
      <c r="S327">
        <v>1</v>
      </c>
      <c r="V327">
        <v>1</v>
      </c>
      <c r="W327" s="4">
        <v>2.4</v>
      </c>
      <c r="X327" t="s">
        <v>91</v>
      </c>
      <c r="Y327">
        <v>0.75</v>
      </c>
      <c r="AA327">
        <v>0</v>
      </c>
      <c r="BF327" s="4">
        <v>1168</v>
      </c>
      <c r="BG327" s="4"/>
      <c r="BH327" s="4">
        <v>8176</v>
      </c>
    </row>
    <row r="328" spans="6:60" hidden="1">
      <c r="F328" s="2" t="s">
        <v>451</v>
      </c>
      <c r="J328" t="s">
        <v>89</v>
      </c>
      <c r="K328" s="2" t="s">
        <v>447</v>
      </c>
      <c r="O328" s="3">
        <f t="shared" si="10"/>
        <v>2.2119999999999997</v>
      </c>
      <c r="P328" s="4">
        <v>0.41</v>
      </c>
      <c r="Q328">
        <f t="shared" si="11"/>
        <v>8.199999999999999E-2</v>
      </c>
      <c r="R328" s="4">
        <v>2.13</v>
      </c>
      <c r="S328">
        <v>1</v>
      </c>
      <c r="V328">
        <v>1</v>
      </c>
      <c r="W328" s="4">
        <v>2.13</v>
      </c>
      <c r="X328" t="s">
        <v>91</v>
      </c>
      <c r="Y328">
        <v>0.75</v>
      </c>
      <c r="AA328">
        <v>0</v>
      </c>
      <c r="BF328" s="4">
        <v>1441.75</v>
      </c>
      <c r="BG328" s="4"/>
      <c r="BH328" s="4">
        <v>10093</v>
      </c>
    </row>
    <row r="329" spans="6:60" hidden="1">
      <c r="F329" s="2" t="s">
        <v>452</v>
      </c>
      <c r="J329" t="s">
        <v>89</v>
      </c>
      <c r="K329" s="2" t="s">
        <v>447</v>
      </c>
      <c r="O329" s="3">
        <f t="shared" si="10"/>
        <v>1.85</v>
      </c>
      <c r="P329" s="4">
        <v>0.2</v>
      </c>
      <c r="Q329">
        <f t="shared" si="11"/>
        <v>0.04</v>
      </c>
      <c r="R329" s="4">
        <v>1.81</v>
      </c>
      <c r="S329">
        <v>1</v>
      </c>
      <c r="V329">
        <v>1</v>
      </c>
      <c r="W329" s="4">
        <v>1.81</v>
      </c>
      <c r="X329" t="s">
        <v>91</v>
      </c>
      <c r="Y329">
        <v>0.75</v>
      </c>
      <c r="AA329">
        <v>0</v>
      </c>
      <c r="BF329" s="4">
        <v>1040.25</v>
      </c>
      <c r="BG329" s="4"/>
      <c r="BH329" s="4">
        <v>7282</v>
      </c>
    </row>
    <row r="330" spans="6:60" hidden="1">
      <c r="F330" s="2" t="s">
        <v>453</v>
      </c>
      <c r="J330" t="s">
        <v>89</v>
      </c>
      <c r="K330" s="2" t="s">
        <v>447</v>
      </c>
      <c r="O330" s="3">
        <f t="shared" si="10"/>
        <v>1.6140000000000001</v>
      </c>
      <c r="P330" s="4">
        <v>0.32</v>
      </c>
      <c r="Q330">
        <f t="shared" si="11"/>
        <v>6.4000000000000001E-2</v>
      </c>
      <c r="R330" s="4">
        <v>1.55</v>
      </c>
      <c r="S330">
        <v>1</v>
      </c>
      <c r="V330">
        <v>1</v>
      </c>
      <c r="W330" s="4">
        <v>1.55</v>
      </c>
      <c r="X330" t="s">
        <v>91</v>
      </c>
      <c r="Y330">
        <v>0.75</v>
      </c>
      <c r="AA330">
        <v>0</v>
      </c>
      <c r="BF330" s="4">
        <v>967.25</v>
      </c>
      <c r="BG330" s="4"/>
      <c r="BH330" s="4">
        <v>6771</v>
      </c>
    </row>
    <row r="331" spans="6:60" hidden="1">
      <c r="F331" s="2" t="s">
        <v>454</v>
      </c>
      <c r="J331" t="s">
        <v>89</v>
      </c>
      <c r="K331" s="2" t="s">
        <v>447</v>
      </c>
      <c r="O331" s="3">
        <f t="shared" si="10"/>
        <v>2.0399999999999996</v>
      </c>
      <c r="P331" s="4">
        <v>0.15</v>
      </c>
      <c r="Q331">
        <f t="shared" si="11"/>
        <v>0.03</v>
      </c>
      <c r="R331" s="4">
        <v>2.0099999999999998</v>
      </c>
      <c r="S331">
        <v>1</v>
      </c>
      <c r="V331">
        <v>1</v>
      </c>
      <c r="W331" s="4">
        <v>2.0099999999999998</v>
      </c>
      <c r="X331" t="s">
        <v>91</v>
      </c>
      <c r="Y331">
        <v>0.75</v>
      </c>
      <c r="AA331">
        <v>0</v>
      </c>
      <c r="BF331" s="4">
        <v>1003.75</v>
      </c>
      <c r="BG331" s="4"/>
      <c r="BH331" s="4">
        <v>7027</v>
      </c>
    </row>
    <row r="332" spans="6:60" hidden="1">
      <c r="F332" s="2" t="s">
        <v>455</v>
      </c>
      <c r="J332" t="s">
        <v>89</v>
      </c>
      <c r="K332" s="2" t="s">
        <v>447</v>
      </c>
      <c r="O332" s="3">
        <f t="shared" si="10"/>
        <v>2.09</v>
      </c>
      <c r="P332" s="4">
        <v>0.15</v>
      </c>
      <c r="Q332">
        <f t="shared" si="11"/>
        <v>0.03</v>
      </c>
      <c r="R332" s="4">
        <v>2.06</v>
      </c>
      <c r="S332">
        <v>1</v>
      </c>
      <c r="V332">
        <v>1</v>
      </c>
      <c r="W332" s="4">
        <v>2.06</v>
      </c>
      <c r="X332" t="s">
        <v>91</v>
      </c>
      <c r="Y332">
        <v>0.75</v>
      </c>
      <c r="AA332">
        <v>0</v>
      </c>
      <c r="BF332" s="4">
        <v>1095</v>
      </c>
      <c r="BG332" s="4"/>
      <c r="BH332" s="4">
        <v>7665</v>
      </c>
    </row>
    <row r="333" spans="6:60" hidden="1">
      <c r="F333" s="2" t="s">
        <v>456</v>
      </c>
      <c r="J333" t="s">
        <v>89</v>
      </c>
      <c r="K333" s="2" t="s">
        <v>447</v>
      </c>
      <c r="O333" s="3">
        <f t="shared" si="10"/>
        <v>4.2220000000000004</v>
      </c>
      <c r="P333" s="4">
        <v>1.46</v>
      </c>
      <c r="Q333">
        <f t="shared" si="11"/>
        <v>0.29199999999999998</v>
      </c>
      <c r="R333" s="4">
        <v>3.93</v>
      </c>
      <c r="S333">
        <v>1</v>
      </c>
      <c r="V333">
        <v>1</v>
      </c>
      <c r="W333" s="4">
        <v>3.93</v>
      </c>
      <c r="X333" t="s">
        <v>91</v>
      </c>
      <c r="Y333">
        <v>0.75</v>
      </c>
      <c r="AA333">
        <v>0</v>
      </c>
      <c r="BF333" s="4">
        <v>5475</v>
      </c>
      <c r="BG333" s="4"/>
      <c r="BH333" s="4">
        <v>38325</v>
      </c>
    </row>
    <row r="334" spans="6:60" hidden="1">
      <c r="F334" s="2" t="s">
        <v>457</v>
      </c>
      <c r="J334" t="s">
        <v>89</v>
      </c>
      <c r="K334" s="2" t="s">
        <v>447</v>
      </c>
      <c r="O334" s="3">
        <f t="shared" si="10"/>
        <v>3.9723999999999999</v>
      </c>
      <c r="P334" s="4">
        <v>1.0620000000000001</v>
      </c>
      <c r="Q334">
        <f t="shared" si="11"/>
        <v>0.21240000000000001</v>
      </c>
      <c r="R334" s="4">
        <v>3.76</v>
      </c>
      <c r="S334">
        <v>1</v>
      </c>
      <c r="V334">
        <v>1</v>
      </c>
      <c r="W334" s="4">
        <v>3.76</v>
      </c>
      <c r="X334" t="s">
        <v>91</v>
      </c>
      <c r="Y334">
        <v>0.75</v>
      </c>
      <c r="AA334">
        <v>0</v>
      </c>
      <c r="BF334" s="4">
        <v>3595.25</v>
      </c>
      <c r="BG334" s="4"/>
      <c r="BH334" s="4">
        <v>25170</v>
      </c>
    </row>
    <row r="335" spans="6:60" hidden="1">
      <c r="F335" s="2" t="s">
        <v>458</v>
      </c>
      <c r="J335" t="s">
        <v>89</v>
      </c>
      <c r="K335" s="2" t="s">
        <v>447</v>
      </c>
      <c r="O335" s="3">
        <f t="shared" si="10"/>
        <v>1.8016000000000001</v>
      </c>
      <c r="P335" s="4">
        <v>0.20799999999999999</v>
      </c>
      <c r="Q335">
        <f t="shared" si="11"/>
        <v>4.1599999999999998E-2</v>
      </c>
      <c r="R335" s="4">
        <v>1.76</v>
      </c>
      <c r="S335">
        <v>1</v>
      </c>
      <c r="V335">
        <v>1</v>
      </c>
      <c r="W335" s="4">
        <v>1.76</v>
      </c>
      <c r="X335" t="s">
        <v>91</v>
      </c>
      <c r="Y335">
        <v>0.75</v>
      </c>
      <c r="AA335">
        <v>0</v>
      </c>
      <c r="BF335" s="4">
        <v>1149.75</v>
      </c>
      <c r="BG335" s="4"/>
      <c r="BH335" s="4">
        <v>8050</v>
      </c>
    </row>
    <row r="336" spans="6:60" hidden="1">
      <c r="F336" s="2" t="s">
        <v>459</v>
      </c>
      <c r="J336" t="s">
        <v>89</v>
      </c>
      <c r="K336" s="2" t="s">
        <v>447</v>
      </c>
      <c r="O336" s="3">
        <f t="shared" si="10"/>
        <v>7.4463999999999997</v>
      </c>
      <c r="P336" s="4">
        <v>2.5819999999999999</v>
      </c>
      <c r="Q336">
        <f t="shared" si="11"/>
        <v>0.51639999999999997</v>
      </c>
      <c r="R336" s="4">
        <v>6.93</v>
      </c>
      <c r="S336">
        <v>1</v>
      </c>
      <c r="V336">
        <v>1</v>
      </c>
      <c r="W336" s="4">
        <v>6.93</v>
      </c>
      <c r="X336" t="s">
        <v>91</v>
      </c>
      <c r="Y336">
        <v>0.75</v>
      </c>
      <c r="AA336">
        <v>0</v>
      </c>
      <c r="BF336" s="4">
        <v>8943.41</v>
      </c>
      <c r="BG336" s="4"/>
      <c r="BH336" s="4">
        <v>62605</v>
      </c>
    </row>
    <row r="337" spans="6:60" hidden="1">
      <c r="F337" s="2" t="s">
        <v>460</v>
      </c>
      <c r="J337" t="s">
        <v>89</v>
      </c>
      <c r="K337" s="2" t="s">
        <v>447</v>
      </c>
      <c r="O337" s="3">
        <f t="shared" si="10"/>
        <v>5.5117999999999991</v>
      </c>
      <c r="P337" s="4">
        <v>1.2090000000000001</v>
      </c>
      <c r="Q337">
        <f t="shared" si="11"/>
        <v>0.24180000000000001</v>
      </c>
      <c r="R337" s="4">
        <v>5.27</v>
      </c>
      <c r="S337">
        <v>1</v>
      </c>
      <c r="V337">
        <v>1</v>
      </c>
      <c r="W337" s="4">
        <v>5.27</v>
      </c>
      <c r="X337" t="s">
        <v>91</v>
      </c>
      <c r="Y337">
        <v>0.75</v>
      </c>
      <c r="AA337">
        <v>0</v>
      </c>
      <c r="BF337" s="4">
        <v>5058.8999999999996</v>
      </c>
      <c r="BG337" s="4"/>
      <c r="BH337" s="4">
        <v>35415</v>
      </c>
    </row>
    <row r="338" spans="6:60" hidden="1">
      <c r="F338" s="2" t="s">
        <v>461</v>
      </c>
      <c r="J338" t="s">
        <v>89</v>
      </c>
      <c r="K338" s="2" t="s">
        <v>443</v>
      </c>
      <c r="O338" s="3">
        <f t="shared" si="10"/>
        <v>0.86</v>
      </c>
      <c r="P338" s="4">
        <v>0.05</v>
      </c>
      <c r="Q338">
        <f t="shared" si="11"/>
        <v>0.01</v>
      </c>
      <c r="R338" s="4">
        <v>0.85</v>
      </c>
      <c r="S338">
        <v>1</v>
      </c>
      <c r="V338">
        <v>1</v>
      </c>
      <c r="W338" s="4">
        <v>0.85</v>
      </c>
      <c r="X338" t="s">
        <v>91</v>
      </c>
      <c r="Y338">
        <v>0.75</v>
      </c>
      <c r="AA338">
        <v>0</v>
      </c>
      <c r="BF338" s="4">
        <v>540</v>
      </c>
      <c r="BG338" s="4"/>
      <c r="BH338" s="4">
        <v>3780</v>
      </c>
    </row>
    <row r="339" spans="6:60" hidden="1">
      <c r="F339" s="2" t="s">
        <v>462</v>
      </c>
      <c r="J339" t="s">
        <v>89</v>
      </c>
      <c r="K339" s="2" t="s">
        <v>443</v>
      </c>
      <c r="O339" s="3">
        <f t="shared" si="10"/>
        <v>4.266</v>
      </c>
      <c r="P339" s="4">
        <v>0.23</v>
      </c>
      <c r="Q339">
        <f t="shared" si="11"/>
        <v>4.5999999999999999E-2</v>
      </c>
      <c r="R339" s="4">
        <v>4.22</v>
      </c>
      <c r="S339">
        <v>1</v>
      </c>
      <c r="V339">
        <v>1</v>
      </c>
      <c r="W339" s="4">
        <v>4.22</v>
      </c>
      <c r="X339" t="s">
        <v>91</v>
      </c>
      <c r="Y339">
        <v>0.75</v>
      </c>
      <c r="AA339">
        <v>0</v>
      </c>
      <c r="BF339" s="4">
        <v>1215</v>
      </c>
      <c r="BG339" s="4"/>
      <c r="BH339" s="4">
        <v>8000</v>
      </c>
    </row>
    <row r="340" spans="6:60" hidden="1">
      <c r="F340" s="2" t="s">
        <v>463</v>
      </c>
      <c r="J340" t="s">
        <v>89</v>
      </c>
      <c r="K340" s="2" t="s">
        <v>443</v>
      </c>
      <c r="O340" s="3">
        <f t="shared" si="10"/>
        <v>0.86199999999999999</v>
      </c>
      <c r="P340" s="4">
        <v>0.01</v>
      </c>
      <c r="Q340">
        <f t="shared" si="11"/>
        <v>2E-3</v>
      </c>
      <c r="R340" s="4">
        <v>0.86</v>
      </c>
      <c r="S340">
        <v>1</v>
      </c>
      <c r="V340">
        <v>1</v>
      </c>
      <c r="W340" s="4">
        <v>0.86</v>
      </c>
      <c r="X340" t="s">
        <v>91</v>
      </c>
      <c r="Y340">
        <v>0.75</v>
      </c>
      <c r="AA340">
        <v>0</v>
      </c>
      <c r="BF340" s="4">
        <v>465</v>
      </c>
      <c r="BG340" s="4"/>
      <c r="BH340" s="4">
        <v>3255</v>
      </c>
    </row>
    <row r="341" spans="6:60" hidden="1">
      <c r="F341" s="2" t="s">
        <v>464</v>
      </c>
      <c r="J341" t="s">
        <v>89</v>
      </c>
      <c r="K341" s="2" t="s">
        <v>443</v>
      </c>
      <c r="O341" s="3">
        <f t="shared" si="10"/>
        <v>0.98199999999999998</v>
      </c>
      <c r="P341" s="4">
        <v>0.01</v>
      </c>
      <c r="Q341">
        <f t="shared" si="11"/>
        <v>2E-3</v>
      </c>
      <c r="R341" s="4">
        <v>0.98</v>
      </c>
      <c r="S341">
        <v>1</v>
      </c>
      <c r="V341">
        <v>1</v>
      </c>
      <c r="W341" s="4">
        <v>0.98</v>
      </c>
      <c r="X341" t="s">
        <v>91</v>
      </c>
      <c r="Y341">
        <v>0.75</v>
      </c>
      <c r="AA341">
        <v>0</v>
      </c>
      <c r="BF341" s="4">
        <v>500</v>
      </c>
      <c r="BG341" s="4"/>
      <c r="BH341" s="4">
        <v>3500</v>
      </c>
    </row>
    <row r="342" spans="6:60" hidden="1">
      <c r="F342" s="2" t="s">
        <v>465</v>
      </c>
      <c r="J342" t="s">
        <v>89</v>
      </c>
      <c r="K342" s="2" t="s">
        <v>443</v>
      </c>
      <c r="O342" s="3">
        <f t="shared" si="10"/>
        <v>1.1399999999999999</v>
      </c>
      <c r="P342" s="4">
        <v>0.05</v>
      </c>
      <c r="Q342">
        <f t="shared" si="11"/>
        <v>0.01</v>
      </c>
      <c r="R342" s="4">
        <v>1.1299999999999999</v>
      </c>
      <c r="S342">
        <v>1</v>
      </c>
      <c r="V342">
        <v>1</v>
      </c>
      <c r="W342" s="4">
        <v>1.1299999999999999</v>
      </c>
      <c r="X342" t="s">
        <v>91</v>
      </c>
      <c r="Y342">
        <v>0.75</v>
      </c>
      <c r="AA342">
        <v>0</v>
      </c>
      <c r="BF342" s="4">
        <v>655</v>
      </c>
      <c r="BG342" s="4"/>
      <c r="BH342" s="4">
        <v>4585</v>
      </c>
    </row>
    <row r="343" spans="6:60" hidden="1">
      <c r="F343" s="2" t="s">
        <v>466</v>
      </c>
      <c r="J343" t="s">
        <v>89</v>
      </c>
      <c r="K343" s="2" t="s">
        <v>443</v>
      </c>
      <c r="O343" s="3">
        <f t="shared" si="10"/>
        <v>1.284</v>
      </c>
      <c r="P343" s="4">
        <v>0.02</v>
      </c>
      <c r="Q343">
        <f t="shared" si="11"/>
        <v>4.0000000000000001E-3</v>
      </c>
      <c r="R343" s="4">
        <v>1.28</v>
      </c>
      <c r="S343">
        <v>1</v>
      </c>
      <c r="V343">
        <v>1</v>
      </c>
      <c r="W343" s="4">
        <v>1.28</v>
      </c>
      <c r="X343" t="s">
        <v>91</v>
      </c>
      <c r="Y343">
        <v>0.75</v>
      </c>
      <c r="AA343">
        <v>0</v>
      </c>
      <c r="BF343" s="4">
        <v>635</v>
      </c>
      <c r="BG343" s="4"/>
      <c r="BH343" s="4">
        <v>4445</v>
      </c>
    </row>
    <row r="344" spans="6:60" hidden="1">
      <c r="F344" s="2" t="s">
        <v>467</v>
      </c>
      <c r="J344" t="s">
        <v>89</v>
      </c>
      <c r="K344" s="2" t="s">
        <v>443</v>
      </c>
      <c r="O344" s="3">
        <f t="shared" si="10"/>
        <v>1.77</v>
      </c>
      <c r="P344" s="5"/>
      <c r="Q344">
        <f t="shared" si="11"/>
        <v>0</v>
      </c>
      <c r="R344" s="4">
        <v>1.77</v>
      </c>
      <c r="S344">
        <v>1</v>
      </c>
      <c r="V344">
        <v>1</v>
      </c>
      <c r="W344" s="4">
        <v>1.77</v>
      </c>
      <c r="X344" t="s">
        <v>91</v>
      </c>
      <c r="Y344">
        <v>0.75</v>
      </c>
      <c r="AA344">
        <v>0</v>
      </c>
      <c r="BF344" s="4">
        <v>350</v>
      </c>
      <c r="BG344" s="4"/>
      <c r="BH344" s="4">
        <v>2450</v>
      </c>
    </row>
    <row r="345" spans="6:60" hidden="1">
      <c r="F345" s="2" t="s">
        <v>468</v>
      </c>
      <c r="J345" t="s">
        <v>89</v>
      </c>
      <c r="K345" s="2" t="s">
        <v>443</v>
      </c>
      <c r="O345" s="3">
        <f t="shared" si="10"/>
        <v>1.25</v>
      </c>
      <c r="P345" s="5"/>
      <c r="Q345">
        <f t="shared" si="11"/>
        <v>0</v>
      </c>
      <c r="R345" s="4">
        <v>1.25</v>
      </c>
      <c r="S345">
        <v>1</v>
      </c>
      <c r="V345">
        <v>1</v>
      </c>
      <c r="W345" s="4">
        <v>1.25</v>
      </c>
      <c r="X345" t="s">
        <v>91</v>
      </c>
      <c r="Y345">
        <v>0.75</v>
      </c>
      <c r="AA345">
        <v>0</v>
      </c>
      <c r="BF345" s="4">
        <v>600</v>
      </c>
      <c r="BG345" s="4"/>
      <c r="BH345" s="4">
        <v>4200</v>
      </c>
    </row>
    <row r="346" spans="6:60" hidden="1">
      <c r="F346" s="2" t="s">
        <v>469</v>
      </c>
      <c r="J346" t="s">
        <v>89</v>
      </c>
      <c r="K346" s="2" t="s">
        <v>443</v>
      </c>
      <c r="O346" s="3">
        <f t="shared" si="10"/>
        <v>2.4851999999999999</v>
      </c>
      <c r="P346" s="4">
        <v>1.0760000000000001</v>
      </c>
      <c r="Q346">
        <f t="shared" si="11"/>
        <v>0.2152</v>
      </c>
      <c r="R346" s="4">
        <v>2.27</v>
      </c>
      <c r="S346">
        <v>1</v>
      </c>
      <c r="V346">
        <v>1</v>
      </c>
      <c r="W346" s="4">
        <v>2.27</v>
      </c>
      <c r="X346" t="s">
        <v>91</v>
      </c>
      <c r="Y346">
        <v>0.75</v>
      </c>
      <c r="AA346">
        <v>0</v>
      </c>
      <c r="BF346" s="4">
        <v>3091.55</v>
      </c>
      <c r="BG346" s="4"/>
      <c r="BH346" s="4">
        <v>21640</v>
      </c>
    </row>
    <row r="347" spans="6:60" hidden="1">
      <c r="F347" s="2" t="s">
        <v>470</v>
      </c>
      <c r="J347" t="s">
        <v>89</v>
      </c>
      <c r="K347" s="2" t="s">
        <v>471</v>
      </c>
      <c r="O347" s="3">
        <f t="shared" si="10"/>
        <v>3.738</v>
      </c>
      <c r="P347" s="4">
        <v>0.64</v>
      </c>
      <c r="Q347">
        <f t="shared" si="11"/>
        <v>0.128</v>
      </c>
      <c r="R347" s="4">
        <v>3.61</v>
      </c>
      <c r="S347">
        <v>1</v>
      </c>
      <c r="V347">
        <v>1</v>
      </c>
      <c r="W347" s="4">
        <v>3.61</v>
      </c>
      <c r="X347" t="s">
        <v>91</v>
      </c>
      <c r="Y347">
        <v>0.75</v>
      </c>
      <c r="AA347">
        <v>0</v>
      </c>
      <c r="BF347" s="4">
        <v>1544.37</v>
      </c>
      <c r="BG347" s="4"/>
      <c r="BH347" s="4">
        <v>10810.58</v>
      </c>
    </row>
    <row r="348" spans="6:60" hidden="1">
      <c r="F348" s="2" t="s">
        <v>472</v>
      </c>
      <c r="J348" t="s">
        <v>89</v>
      </c>
      <c r="K348" s="2" t="s">
        <v>471</v>
      </c>
      <c r="O348" s="3">
        <f t="shared" si="10"/>
        <v>2.984</v>
      </c>
      <c r="P348" s="4">
        <v>0.56999999999999995</v>
      </c>
      <c r="Q348">
        <f t="shared" si="11"/>
        <v>0.11399999999999999</v>
      </c>
      <c r="R348" s="4">
        <v>2.87</v>
      </c>
      <c r="S348">
        <v>1</v>
      </c>
      <c r="V348">
        <v>1</v>
      </c>
      <c r="W348" s="4">
        <v>2.87</v>
      </c>
      <c r="X348" t="s">
        <v>91</v>
      </c>
      <c r="Y348">
        <v>0.75</v>
      </c>
      <c r="AA348">
        <v>0</v>
      </c>
      <c r="BF348" s="4">
        <v>1324.27</v>
      </c>
      <c r="BG348" s="4"/>
      <c r="BH348" s="4">
        <v>9269.8799999999992</v>
      </c>
    </row>
    <row r="349" spans="6:60" hidden="1">
      <c r="F349" s="2" t="s">
        <v>473</v>
      </c>
      <c r="J349" t="s">
        <v>89</v>
      </c>
      <c r="K349" s="2" t="s">
        <v>471</v>
      </c>
      <c r="O349" s="3">
        <f t="shared" si="10"/>
        <v>2.75</v>
      </c>
      <c r="P349" s="4">
        <v>0.35</v>
      </c>
      <c r="Q349">
        <f t="shared" si="11"/>
        <v>6.9999999999999993E-2</v>
      </c>
      <c r="R349" s="4">
        <v>2.68</v>
      </c>
      <c r="S349">
        <v>1</v>
      </c>
      <c r="V349">
        <v>1</v>
      </c>
      <c r="W349" s="4">
        <v>2.68</v>
      </c>
      <c r="X349" t="s">
        <v>91</v>
      </c>
      <c r="Y349">
        <v>0.75</v>
      </c>
      <c r="AA349">
        <v>0</v>
      </c>
      <c r="BF349" s="4">
        <v>1126.99</v>
      </c>
      <c r="BG349" s="4"/>
      <c r="BH349" s="4">
        <v>7888.92</v>
      </c>
    </row>
    <row r="350" spans="6:60" hidden="1">
      <c r="F350" s="2" t="s">
        <v>474</v>
      </c>
      <c r="J350" t="s">
        <v>89</v>
      </c>
      <c r="K350" s="2" t="s">
        <v>471</v>
      </c>
      <c r="O350" s="3">
        <f t="shared" si="10"/>
        <v>2.8479999999999999</v>
      </c>
      <c r="P350" s="4">
        <v>0.59</v>
      </c>
      <c r="Q350">
        <f t="shared" si="11"/>
        <v>0.11799999999999999</v>
      </c>
      <c r="R350" s="4">
        <v>2.73</v>
      </c>
      <c r="S350">
        <v>1</v>
      </c>
      <c r="V350">
        <v>1</v>
      </c>
      <c r="W350" s="4">
        <v>2.73</v>
      </c>
      <c r="X350" t="s">
        <v>91</v>
      </c>
      <c r="Y350">
        <v>0.75</v>
      </c>
      <c r="AA350">
        <v>0</v>
      </c>
      <c r="BF350" s="4">
        <v>567</v>
      </c>
      <c r="BG350" s="4"/>
      <c r="BH350" s="4">
        <v>3969</v>
      </c>
    </row>
    <row r="351" spans="6:60" hidden="1">
      <c r="F351" s="2" t="s">
        <v>475</v>
      </c>
      <c r="J351" t="s">
        <v>89</v>
      </c>
      <c r="K351" s="2" t="s">
        <v>471</v>
      </c>
      <c r="O351" s="3">
        <f t="shared" si="10"/>
        <v>2.8660000000000001</v>
      </c>
      <c r="P351" s="4">
        <v>0.63</v>
      </c>
      <c r="Q351">
        <f t="shared" si="11"/>
        <v>0.126</v>
      </c>
      <c r="R351" s="4">
        <v>2.74</v>
      </c>
      <c r="S351">
        <v>1</v>
      </c>
      <c r="V351">
        <v>1</v>
      </c>
      <c r="W351" s="4">
        <v>2.74</v>
      </c>
      <c r="X351" t="s">
        <v>91</v>
      </c>
      <c r="Y351">
        <v>0.75</v>
      </c>
      <c r="AA351">
        <v>0</v>
      </c>
      <c r="BF351" s="4">
        <v>567</v>
      </c>
      <c r="BG351" s="4"/>
      <c r="BH351" s="4">
        <v>3969</v>
      </c>
    </row>
    <row r="352" spans="6:60" hidden="1">
      <c r="F352" s="2" t="s">
        <v>476</v>
      </c>
      <c r="J352" t="s">
        <v>89</v>
      </c>
      <c r="K352" s="2" t="s">
        <v>471</v>
      </c>
      <c r="O352" s="3">
        <f t="shared" si="10"/>
        <v>4.03</v>
      </c>
      <c r="P352" s="4">
        <v>1</v>
      </c>
      <c r="Q352">
        <f t="shared" si="11"/>
        <v>0.2</v>
      </c>
      <c r="R352" s="4">
        <v>3.83</v>
      </c>
      <c r="S352">
        <v>1</v>
      </c>
      <c r="V352">
        <v>1</v>
      </c>
      <c r="W352" s="4">
        <v>3.83</v>
      </c>
      <c r="X352" t="s">
        <v>91</v>
      </c>
      <c r="Y352">
        <v>0.75</v>
      </c>
      <c r="AA352">
        <v>0</v>
      </c>
      <c r="BF352" s="4">
        <v>696</v>
      </c>
      <c r="BG352" s="4"/>
      <c r="BH352" s="4">
        <v>4872</v>
      </c>
    </row>
    <row r="353" spans="6:60" hidden="1">
      <c r="F353" s="2" t="s">
        <v>477</v>
      </c>
      <c r="J353" t="s">
        <v>89</v>
      </c>
      <c r="K353" s="2" t="s">
        <v>471</v>
      </c>
      <c r="O353" s="3">
        <f t="shared" si="10"/>
        <v>4.97</v>
      </c>
      <c r="P353" s="4">
        <v>1.05</v>
      </c>
      <c r="Q353">
        <f t="shared" si="11"/>
        <v>0.21000000000000002</v>
      </c>
      <c r="R353" s="4">
        <v>4.76</v>
      </c>
      <c r="S353">
        <v>1</v>
      </c>
      <c r="V353">
        <v>1</v>
      </c>
      <c r="W353" s="4">
        <v>4.76</v>
      </c>
      <c r="X353" t="s">
        <v>91</v>
      </c>
      <c r="Y353">
        <v>0.75</v>
      </c>
      <c r="AA353">
        <v>0</v>
      </c>
      <c r="BF353" s="4">
        <v>3714</v>
      </c>
      <c r="BG353" s="4"/>
      <c r="BH353" s="4">
        <v>26000</v>
      </c>
    </row>
    <row r="354" spans="6:60" hidden="1">
      <c r="F354" s="2" t="s">
        <v>478</v>
      </c>
      <c r="J354" t="s">
        <v>89</v>
      </c>
      <c r="K354" s="2" t="s">
        <v>471</v>
      </c>
      <c r="O354" s="3">
        <f t="shared" si="10"/>
        <v>3.79</v>
      </c>
      <c r="P354" s="4">
        <v>0.25</v>
      </c>
      <c r="Q354">
        <f t="shared" si="11"/>
        <v>0.05</v>
      </c>
      <c r="R354" s="4">
        <v>3.74</v>
      </c>
      <c r="S354">
        <v>1</v>
      </c>
      <c r="V354">
        <v>1</v>
      </c>
      <c r="W354" s="4">
        <v>3.74</v>
      </c>
      <c r="X354" t="s">
        <v>91</v>
      </c>
      <c r="Y354">
        <v>0.75</v>
      </c>
      <c r="AA354">
        <v>0</v>
      </c>
      <c r="BF354" s="4">
        <v>1</v>
      </c>
      <c r="BG354" s="4"/>
      <c r="BH354" s="4">
        <v>11270</v>
      </c>
    </row>
    <row r="355" spans="6:60" hidden="1">
      <c r="F355" s="2" t="s">
        <v>479</v>
      </c>
      <c r="J355" t="s">
        <v>89</v>
      </c>
      <c r="K355" s="2" t="s">
        <v>471</v>
      </c>
      <c r="O355" s="3">
        <f t="shared" si="10"/>
        <v>0.78</v>
      </c>
      <c r="P355" s="4">
        <v>0.1</v>
      </c>
      <c r="Q355">
        <f t="shared" si="11"/>
        <v>0.02</v>
      </c>
      <c r="R355" s="4">
        <v>0.76</v>
      </c>
      <c r="S355">
        <v>1</v>
      </c>
      <c r="V355">
        <v>1</v>
      </c>
      <c r="W355" s="4">
        <v>0.76</v>
      </c>
      <c r="X355" t="s">
        <v>91</v>
      </c>
      <c r="Y355">
        <v>0.75</v>
      </c>
      <c r="AA355">
        <v>0</v>
      </c>
      <c r="BF355" s="4">
        <v>605.9</v>
      </c>
      <c r="BG355" s="4"/>
      <c r="BH355" s="4">
        <v>4241.3</v>
      </c>
    </row>
    <row r="356" spans="6:60" hidden="1">
      <c r="F356" s="2" t="s">
        <v>480</v>
      </c>
      <c r="J356" t="s">
        <v>89</v>
      </c>
      <c r="K356" s="2" t="s">
        <v>471</v>
      </c>
      <c r="O356" s="3">
        <f t="shared" si="10"/>
        <v>0.872</v>
      </c>
      <c r="P356" s="4">
        <v>0.11</v>
      </c>
      <c r="Q356">
        <f t="shared" si="11"/>
        <v>2.1999999999999999E-2</v>
      </c>
      <c r="R356" s="4">
        <v>0.85</v>
      </c>
      <c r="S356">
        <v>1</v>
      </c>
      <c r="V356">
        <v>1</v>
      </c>
      <c r="W356" s="4">
        <v>0.85</v>
      </c>
      <c r="X356" t="s">
        <v>91</v>
      </c>
      <c r="Y356">
        <v>0.75</v>
      </c>
      <c r="AA356">
        <v>0</v>
      </c>
      <c r="BF356" s="4">
        <v>671.6</v>
      </c>
      <c r="BG356" s="4"/>
      <c r="BH356" s="4">
        <v>4701.2</v>
      </c>
    </row>
    <row r="357" spans="6:60" hidden="1">
      <c r="F357" s="2" t="s">
        <v>481</v>
      </c>
      <c r="J357" t="s">
        <v>89</v>
      </c>
      <c r="K357" s="2" t="s">
        <v>471</v>
      </c>
      <c r="O357" s="3">
        <f t="shared" si="10"/>
        <v>3.93</v>
      </c>
      <c r="P357" s="4">
        <v>1</v>
      </c>
      <c r="Q357">
        <f t="shared" si="11"/>
        <v>0.2</v>
      </c>
      <c r="R357" s="4">
        <v>3.73</v>
      </c>
      <c r="S357">
        <v>1</v>
      </c>
      <c r="V357">
        <v>1</v>
      </c>
      <c r="W357" s="4">
        <v>3.73</v>
      </c>
      <c r="X357" t="s">
        <v>91</v>
      </c>
      <c r="Y357">
        <v>0.75</v>
      </c>
      <c r="AA357">
        <v>0</v>
      </c>
      <c r="BF357" s="4">
        <v>2900</v>
      </c>
      <c r="BG357" s="4"/>
      <c r="BH357" s="4">
        <v>20300</v>
      </c>
    </row>
    <row r="358" spans="6:60" hidden="1">
      <c r="F358" s="2" t="s">
        <v>482</v>
      </c>
      <c r="J358" t="s">
        <v>89</v>
      </c>
      <c r="K358" s="2" t="s">
        <v>471</v>
      </c>
      <c r="O358" s="3">
        <f t="shared" si="10"/>
        <v>2.524</v>
      </c>
      <c r="P358" s="4">
        <v>1.07</v>
      </c>
      <c r="Q358">
        <f t="shared" si="11"/>
        <v>0.21400000000000002</v>
      </c>
      <c r="R358" s="4">
        <v>2.31</v>
      </c>
      <c r="S358">
        <v>1</v>
      </c>
      <c r="V358">
        <v>1</v>
      </c>
      <c r="W358" s="4">
        <v>2.31</v>
      </c>
      <c r="X358" t="s">
        <v>91</v>
      </c>
      <c r="Y358">
        <v>0.75</v>
      </c>
      <c r="AA358">
        <v>0</v>
      </c>
      <c r="BF358" s="4">
        <v>1350.5</v>
      </c>
      <c r="BG358" s="4"/>
      <c r="BH358" s="4">
        <v>9455</v>
      </c>
    </row>
    <row r="359" spans="6:60" hidden="1">
      <c r="F359" s="2" t="s">
        <v>483</v>
      </c>
      <c r="J359" t="s">
        <v>89</v>
      </c>
      <c r="K359" s="2" t="s">
        <v>471</v>
      </c>
      <c r="O359" s="3">
        <f t="shared" si="10"/>
        <v>3.3380000000000001</v>
      </c>
      <c r="P359" s="4">
        <v>0.84</v>
      </c>
      <c r="Q359">
        <f t="shared" si="11"/>
        <v>0.16799999999999998</v>
      </c>
      <c r="R359" s="4">
        <v>3.17</v>
      </c>
      <c r="S359">
        <v>1</v>
      </c>
      <c r="V359">
        <v>1</v>
      </c>
      <c r="W359" s="4">
        <v>3.17</v>
      </c>
      <c r="X359" t="s">
        <v>91</v>
      </c>
      <c r="Y359">
        <v>0.75</v>
      </c>
      <c r="AA359">
        <v>0</v>
      </c>
      <c r="BF359" s="4">
        <v>1076.75</v>
      </c>
      <c r="BG359" s="4"/>
      <c r="BH359" s="4">
        <v>7537.25</v>
      </c>
    </row>
    <row r="360" spans="6:60" hidden="1">
      <c r="F360" s="2" t="s">
        <v>484</v>
      </c>
      <c r="J360" t="s">
        <v>89</v>
      </c>
      <c r="K360" s="2" t="s">
        <v>471</v>
      </c>
      <c r="O360" s="3">
        <f t="shared" si="10"/>
        <v>0.754</v>
      </c>
      <c r="P360" s="4">
        <v>0.27</v>
      </c>
      <c r="Q360">
        <f t="shared" si="11"/>
        <v>5.4000000000000006E-2</v>
      </c>
      <c r="R360" s="4">
        <v>0.7</v>
      </c>
      <c r="S360">
        <v>1</v>
      </c>
      <c r="V360">
        <v>1</v>
      </c>
      <c r="W360" s="4">
        <v>0.7</v>
      </c>
      <c r="X360" t="s">
        <v>91</v>
      </c>
      <c r="Y360">
        <v>0.75</v>
      </c>
      <c r="AA360">
        <v>0</v>
      </c>
      <c r="BF360" s="4">
        <v>339.45</v>
      </c>
      <c r="BG360" s="4"/>
      <c r="BH360" s="4">
        <v>2380</v>
      </c>
    </row>
    <row r="361" spans="6:60" hidden="1">
      <c r="F361" s="2" t="s">
        <v>485</v>
      </c>
      <c r="J361" t="s">
        <v>89</v>
      </c>
      <c r="K361" s="2" t="s">
        <v>471</v>
      </c>
      <c r="O361" s="3">
        <f t="shared" si="10"/>
        <v>0.80799999999999994</v>
      </c>
      <c r="P361" s="4">
        <v>0.39</v>
      </c>
      <c r="Q361">
        <f t="shared" si="11"/>
        <v>7.8E-2</v>
      </c>
      <c r="R361" s="4">
        <v>0.73</v>
      </c>
      <c r="S361">
        <v>1</v>
      </c>
      <c r="V361">
        <v>1</v>
      </c>
      <c r="W361" s="4">
        <v>0.73</v>
      </c>
      <c r="X361" t="s">
        <v>91</v>
      </c>
      <c r="Y361">
        <v>0.75</v>
      </c>
      <c r="AA361">
        <v>0</v>
      </c>
      <c r="BF361" s="4">
        <v>448.95</v>
      </c>
      <c r="BG361" s="4"/>
      <c r="BH361" s="4">
        <v>3145</v>
      </c>
    </row>
    <row r="362" spans="6:60" hidden="1">
      <c r="F362" s="2" t="s">
        <v>486</v>
      </c>
      <c r="J362" t="s">
        <v>89</v>
      </c>
      <c r="K362" s="2" t="s">
        <v>471</v>
      </c>
      <c r="O362" s="3">
        <f t="shared" si="10"/>
        <v>2.0499999999999998</v>
      </c>
      <c r="P362" s="4">
        <v>0.45</v>
      </c>
      <c r="Q362">
        <f t="shared" si="11"/>
        <v>0.09</v>
      </c>
      <c r="R362" s="4">
        <v>1.96</v>
      </c>
      <c r="S362">
        <v>1</v>
      </c>
      <c r="V362">
        <v>1</v>
      </c>
      <c r="W362" s="4">
        <v>1.96</v>
      </c>
      <c r="X362" t="s">
        <v>91</v>
      </c>
      <c r="Y362">
        <v>0.75</v>
      </c>
      <c r="AA362">
        <v>0</v>
      </c>
      <c r="BF362" s="4">
        <v>667.95</v>
      </c>
      <c r="BG362" s="4"/>
      <c r="BH362" s="4">
        <v>4675</v>
      </c>
    </row>
    <row r="363" spans="6:60" hidden="1">
      <c r="F363" s="2" t="s">
        <v>487</v>
      </c>
      <c r="J363" t="s">
        <v>89</v>
      </c>
      <c r="K363" s="2" t="s">
        <v>471</v>
      </c>
      <c r="O363" s="3">
        <f t="shared" si="10"/>
        <v>1.5</v>
      </c>
      <c r="P363" s="4">
        <v>0.5</v>
      </c>
      <c r="Q363">
        <f t="shared" si="11"/>
        <v>0.1</v>
      </c>
      <c r="R363" s="4">
        <v>1.4</v>
      </c>
      <c r="S363">
        <v>1</v>
      </c>
      <c r="V363">
        <v>1</v>
      </c>
      <c r="W363" s="4">
        <v>1.4</v>
      </c>
      <c r="X363" t="s">
        <v>91</v>
      </c>
      <c r="Y363">
        <v>0.75</v>
      </c>
      <c r="AA363">
        <v>0</v>
      </c>
      <c r="BF363" s="4">
        <v>565.75</v>
      </c>
      <c r="BG363" s="4"/>
      <c r="BH363" s="4">
        <v>3960</v>
      </c>
    </row>
    <row r="364" spans="6:60" hidden="1">
      <c r="F364" s="2" t="s">
        <v>488</v>
      </c>
      <c r="J364" t="s">
        <v>89</v>
      </c>
      <c r="K364" s="2" t="s">
        <v>471</v>
      </c>
      <c r="O364" s="3">
        <f t="shared" si="10"/>
        <v>0.85</v>
      </c>
      <c r="P364" s="4">
        <v>0.15</v>
      </c>
      <c r="Q364">
        <f t="shared" si="11"/>
        <v>0.03</v>
      </c>
      <c r="R364" s="4">
        <v>0.82</v>
      </c>
      <c r="S364">
        <v>1</v>
      </c>
      <c r="V364">
        <v>1</v>
      </c>
      <c r="W364" s="4">
        <v>0.82</v>
      </c>
      <c r="X364" t="s">
        <v>91</v>
      </c>
      <c r="Y364">
        <v>0.75</v>
      </c>
      <c r="AA364">
        <v>0</v>
      </c>
      <c r="BF364" s="4">
        <v>284.7</v>
      </c>
      <c r="BG364" s="4"/>
      <c r="BH364" s="4">
        <v>1993</v>
      </c>
    </row>
    <row r="365" spans="6:60" hidden="1">
      <c r="F365" s="2" t="s">
        <v>489</v>
      </c>
      <c r="J365" t="s">
        <v>89</v>
      </c>
      <c r="K365" s="2" t="s">
        <v>471</v>
      </c>
      <c r="O365" s="3">
        <f t="shared" si="10"/>
        <v>2.524</v>
      </c>
      <c r="P365" s="4">
        <v>1.07</v>
      </c>
      <c r="Q365">
        <f t="shared" si="11"/>
        <v>0.21400000000000002</v>
      </c>
      <c r="R365" s="4">
        <v>2.31</v>
      </c>
      <c r="S365">
        <v>1</v>
      </c>
      <c r="V365">
        <v>1</v>
      </c>
      <c r="W365" s="4">
        <v>2.31</v>
      </c>
      <c r="X365" t="s">
        <v>91</v>
      </c>
      <c r="Y365">
        <v>0.75</v>
      </c>
      <c r="AA365">
        <v>0</v>
      </c>
      <c r="BF365" s="4">
        <v>1350.5</v>
      </c>
      <c r="BG365" s="4"/>
      <c r="BH365" s="4">
        <v>9453.5</v>
      </c>
    </row>
    <row r="366" spans="6:60" hidden="1">
      <c r="F366" s="2" t="s">
        <v>490</v>
      </c>
      <c r="J366" t="s">
        <v>89</v>
      </c>
      <c r="K366" s="2" t="s">
        <v>471</v>
      </c>
      <c r="O366" s="3">
        <f t="shared" si="10"/>
        <v>2.524</v>
      </c>
      <c r="P366" s="4">
        <v>1.07</v>
      </c>
      <c r="Q366">
        <f t="shared" si="11"/>
        <v>0.21400000000000002</v>
      </c>
      <c r="R366" s="4">
        <v>2.31</v>
      </c>
      <c r="S366">
        <v>1</v>
      </c>
      <c r="V366">
        <v>1</v>
      </c>
      <c r="W366" s="4">
        <v>2.31</v>
      </c>
      <c r="X366" t="s">
        <v>91</v>
      </c>
      <c r="Y366">
        <v>0.75</v>
      </c>
      <c r="AA366">
        <v>0</v>
      </c>
      <c r="BF366" s="4">
        <v>2701</v>
      </c>
      <c r="BG366" s="4"/>
      <c r="BH366" s="4">
        <v>18907</v>
      </c>
    </row>
    <row r="367" spans="6:60" hidden="1">
      <c r="F367" s="2" t="s">
        <v>491</v>
      </c>
      <c r="J367" t="s">
        <v>89</v>
      </c>
      <c r="K367" s="2" t="s">
        <v>471</v>
      </c>
      <c r="O367" s="3">
        <f t="shared" si="10"/>
        <v>1.6460000000000001</v>
      </c>
      <c r="P367" s="4">
        <v>0.53</v>
      </c>
      <c r="Q367">
        <f t="shared" si="11"/>
        <v>0.10600000000000001</v>
      </c>
      <c r="R367" s="4">
        <v>1.54</v>
      </c>
      <c r="S367">
        <v>1</v>
      </c>
      <c r="V367">
        <v>1</v>
      </c>
      <c r="W367" s="4">
        <v>1.54</v>
      </c>
      <c r="X367" t="s">
        <v>91</v>
      </c>
      <c r="Y367">
        <v>0.75</v>
      </c>
      <c r="AA367">
        <v>0</v>
      </c>
      <c r="BF367" s="4">
        <v>1040.25</v>
      </c>
      <c r="BG367" s="4"/>
      <c r="BH367" s="4">
        <v>7282</v>
      </c>
    </row>
    <row r="368" spans="6:60" hidden="1">
      <c r="F368" s="2" t="s">
        <v>492</v>
      </c>
      <c r="J368" t="s">
        <v>89</v>
      </c>
      <c r="K368" s="2" t="s">
        <v>471</v>
      </c>
      <c r="O368" s="3">
        <f t="shared" si="10"/>
        <v>3.3380000000000001</v>
      </c>
      <c r="P368" s="4">
        <v>0.84</v>
      </c>
      <c r="Q368">
        <f t="shared" si="11"/>
        <v>0.16799999999999998</v>
      </c>
      <c r="R368" s="4">
        <v>3.17</v>
      </c>
      <c r="S368">
        <v>1</v>
      </c>
      <c r="V368">
        <v>1</v>
      </c>
      <c r="W368" s="4">
        <v>3.17</v>
      </c>
      <c r="X368" t="s">
        <v>91</v>
      </c>
      <c r="Y368">
        <v>0.75</v>
      </c>
      <c r="AA368">
        <v>0</v>
      </c>
      <c r="BF368" s="4">
        <v>2153.5</v>
      </c>
      <c r="BG368" s="4"/>
      <c r="BH368" s="4">
        <v>15075</v>
      </c>
    </row>
    <row r="369" spans="6:60" hidden="1">
      <c r="F369" s="2" t="s">
        <v>493</v>
      </c>
      <c r="J369" t="s">
        <v>89</v>
      </c>
      <c r="K369" s="2" t="s">
        <v>471</v>
      </c>
      <c r="O369" s="3">
        <f t="shared" si="10"/>
        <v>0.754</v>
      </c>
      <c r="P369" s="4">
        <v>0.27</v>
      </c>
      <c r="Q369">
        <f t="shared" si="11"/>
        <v>5.4000000000000006E-2</v>
      </c>
      <c r="R369" s="4">
        <v>0.7</v>
      </c>
      <c r="S369">
        <v>1</v>
      </c>
      <c r="V369">
        <v>1</v>
      </c>
      <c r="W369" s="4">
        <v>0.7</v>
      </c>
      <c r="X369" t="s">
        <v>91</v>
      </c>
      <c r="Y369">
        <v>0.75</v>
      </c>
      <c r="AA369">
        <v>0</v>
      </c>
      <c r="BF369" s="4">
        <v>675.25</v>
      </c>
      <c r="BG369" s="4"/>
      <c r="BH369" s="4">
        <v>4730</v>
      </c>
    </row>
    <row r="370" spans="6:60" hidden="1">
      <c r="F370" s="2" t="s">
        <v>494</v>
      </c>
      <c r="J370" t="s">
        <v>89</v>
      </c>
      <c r="K370" s="2" t="s">
        <v>471</v>
      </c>
      <c r="O370" s="3">
        <f t="shared" si="10"/>
        <v>1.5</v>
      </c>
      <c r="P370" s="4">
        <v>0.5</v>
      </c>
      <c r="Q370">
        <f t="shared" si="11"/>
        <v>0.1</v>
      </c>
      <c r="R370" s="4">
        <v>1.4</v>
      </c>
      <c r="S370">
        <v>1</v>
      </c>
      <c r="V370">
        <v>1</v>
      </c>
      <c r="W370" s="4">
        <v>1.4</v>
      </c>
      <c r="X370" t="s">
        <v>91</v>
      </c>
      <c r="Y370">
        <v>0.75</v>
      </c>
      <c r="AA370">
        <v>0</v>
      </c>
      <c r="BF370" s="4">
        <v>1131.5</v>
      </c>
      <c r="BG370" s="4"/>
      <c r="BH370" s="4">
        <v>7921</v>
      </c>
    </row>
    <row r="371" spans="6:60" hidden="1">
      <c r="F371" s="2" t="s">
        <v>495</v>
      </c>
      <c r="J371" t="s">
        <v>89</v>
      </c>
      <c r="K371" s="2" t="s">
        <v>471</v>
      </c>
      <c r="O371" s="3">
        <f t="shared" si="10"/>
        <v>0.85</v>
      </c>
      <c r="P371" s="4">
        <v>0.15</v>
      </c>
      <c r="Q371">
        <f t="shared" si="11"/>
        <v>0.03</v>
      </c>
      <c r="R371" s="4">
        <v>0.82</v>
      </c>
      <c r="S371">
        <v>1</v>
      </c>
      <c r="V371">
        <v>1</v>
      </c>
      <c r="W371" s="4">
        <v>0.82</v>
      </c>
      <c r="X371" t="s">
        <v>91</v>
      </c>
      <c r="Y371">
        <v>0.75</v>
      </c>
      <c r="AA371">
        <v>0</v>
      </c>
      <c r="BF371" s="4">
        <v>565.75</v>
      </c>
      <c r="BG371" s="4"/>
      <c r="BH371" s="4">
        <v>3961</v>
      </c>
    </row>
    <row r="372" spans="6:60" hidden="1">
      <c r="F372" s="2" t="s">
        <v>496</v>
      </c>
      <c r="J372" t="s">
        <v>89</v>
      </c>
      <c r="K372" s="2" t="s">
        <v>471</v>
      </c>
      <c r="O372" s="3">
        <f t="shared" si="10"/>
        <v>0.70600000000000007</v>
      </c>
      <c r="P372" s="4">
        <v>0.28000000000000003</v>
      </c>
      <c r="Q372">
        <f t="shared" si="11"/>
        <v>5.6000000000000008E-2</v>
      </c>
      <c r="R372" s="4">
        <v>0.65</v>
      </c>
      <c r="S372">
        <v>1</v>
      </c>
      <c r="V372">
        <v>1</v>
      </c>
      <c r="W372" s="4">
        <v>0.65</v>
      </c>
      <c r="X372" t="s">
        <v>91</v>
      </c>
      <c r="Y372">
        <v>0.75</v>
      </c>
      <c r="AA372">
        <v>0</v>
      </c>
      <c r="BF372" s="4">
        <v>657</v>
      </c>
      <c r="BG372" s="4"/>
      <c r="BH372" s="4">
        <v>4599</v>
      </c>
    </row>
    <row r="373" spans="6:60" hidden="1">
      <c r="F373" s="2" t="s">
        <v>497</v>
      </c>
      <c r="J373" t="s">
        <v>89</v>
      </c>
      <c r="K373" s="2" t="s">
        <v>471</v>
      </c>
      <c r="O373" s="3">
        <f t="shared" si="10"/>
        <v>1.0191999999999999</v>
      </c>
      <c r="P373" s="4">
        <v>0.34599999999999997</v>
      </c>
      <c r="Q373">
        <f t="shared" si="11"/>
        <v>6.9199999999999998E-2</v>
      </c>
      <c r="R373" s="4">
        <v>0.95</v>
      </c>
      <c r="S373">
        <v>1</v>
      </c>
      <c r="V373">
        <v>1</v>
      </c>
      <c r="W373" s="4">
        <v>0.95</v>
      </c>
      <c r="X373" t="s">
        <v>91</v>
      </c>
      <c r="Y373">
        <v>0.75</v>
      </c>
      <c r="AA373">
        <v>0</v>
      </c>
      <c r="BF373" s="4">
        <v>803</v>
      </c>
      <c r="BG373" s="4"/>
      <c r="BH373" s="4">
        <v>5621</v>
      </c>
    </row>
    <row r="374" spans="6:60" hidden="1">
      <c r="F374" s="2" t="s">
        <v>498</v>
      </c>
      <c r="J374" t="s">
        <v>89</v>
      </c>
      <c r="K374" s="2" t="s">
        <v>471</v>
      </c>
      <c r="O374" s="3">
        <f t="shared" si="10"/>
        <v>0.7046</v>
      </c>
      <c r="P374" s="4">
        <v>0.223</v>
      </c>
      <c r="Q374">
        <f t="shared" si="11"/>
        <v>4.4600000000000001E-2</v>
      </c>
      <c r="R374" s="4">
        <v>0.66</v>
      </c>
      <c r="S374">
        <v>1</v>
      </c>
      <c r="V374">
        <v>1</v>
      </c>
      <c r="W374" s="4">
        <v>0.66</v>
      </c>
      <c r="X374" t="s">
        <v>91</v>
      </c>
      <c r="Y374">
        <v>0.75</v>
      </c>
      <c r="AA374">
        <v>0</v>
      </c>
      <c r="BF374" s="4">
        <v>565.75</v>
      </c>
      <c r="BG374" s="4"/>
      <c r="BH374" s="4">
        <v>3965</v>
      </c>
    </row>
    <row r="375" spans="6:60" hidden="1">
      <c r="F375" s="2" t="s">
        <v>499</v>
      </c>
      <c r="J375" t="s">
        <v>89</v>
      </c>
      <c r="K375" s="2" t="s">
        <v>471</v>
      </c>
      <c r="O375" s="3">
        <f t="shared" si="10"/>
        <v>0.872</v>
      </c>
      <c r="P375" s="4">
        <v>0.11</v>
      </c>
      <c r="Q375">
        <f t="shared" si="11"/>
        <v>2.1999999999999999E-2</v>
      </c>
      <c r="R375" s="4">
        <v>0.85</v>
      </c>
      <c r="S375">
        <v>1</v>
      </c>
      <c r="V375">
        <v>1</v>
      </c>
      <c r="W375" s="4">
        <v>0.85</v>
      </c>
      <c r="X375" t="s">
        <v>91</v>
      </c>
      <c r="Y375">
        <v>0.75</v>
      </c>
      <c r="AA375">
        <v>0</v>
      </c>
      <c r="BF375" s="4">
        <v>671.6</v>
      </c>
      <c r="BG375" s="4"/>
      <c r="BH375" s="4">
        <v>4701.2</v>
      </c>
    </row>
    <row r="376" spans="6:60" hidden="1">
      <c r="F376" s="2" t="s">
        <v>500</v>
      </c>
      <c r="J376" t="s">
        <v>89</v>
      </c>
      <c r="K376" s="2" t="s">
        <v>471</v>
      </c>
      <c r="O376" s="3">
        <f t="shared" si="10"/>
        <v>1.008</v>
      </c>
      <c r="P376" s="4">
        <v>0.28999999999999998</v>
      </c>
      <c r="Q376">
        <f t="shared" si="11"/>
        <v>5.7999999999999996E-2</v>
      </c>
      <c r="R376" s="4">
        <v>0.95</v>
      </c>
      <c r="S376">
        <v>1</v>
      </c>
      <c r="V376">
        <v>1</v>
      </c>
      <c r="W376" s="4">
        <v>0.95</v>
      </c>
      <c r="X376" t="s">
        <v>91</v>
      </c>
      <c r="Y376">
        <v>0.75</v>
      </c>
      <c r="AA376">
        <v>0</v>
      </c>
      <c r="BF376" s="4">
        <v>803</v>
      </c>
      <c r="BG376" s="4"/>
      <c r="BH376" s="4">
        <v>5621</v>
      </c>
    </row>
    <row r="377" spans="6:60" hidden="1">
      <c r="F377" s="2" t="s">
        <v>501</v>
      </c>
      <c r="J377" t="s">
        <v>89</v>
      </c>
      <c r="K377" s="2" t="s">
        <v>471</v>
      </c>
      <c r="O377" s="3">
        <f t="shared" si="10"/>
        <v>3.3296000000000001</v>
      </c>
      <c r="P377" s="4">
        <v>0.54300000000000004</v>
      </c>
      <c r="Q377">
        <f t="shared" si="11"/>
        <v>0.1086</v>
      </c>
      <c r="R377" s="4">
        <v>3.2210000000000001</v>
      </c>
      <c r="S377">
        <v>1</v>
      </c>
      <c r="V377">
        <v>1</v>
      </c>
      <c r="W377" s="4">
        <v>3.2210000000000001</v>
      </c>
      <c r="X377" t="s">
        <v>91</v>
      </c>
      <c r="Y377">
        <v>0.75</v>
      </c>
      <c r="AA377">
        <v>0</v>
      </c>
      <c r="BF377" s="4">
        <v>3175.5</v>
      </c>
      <c r="BG377" s="4"/>
      <c r="BH377" s="4">
        <v>22230</v>
      </c>
    </row>
    <row r="378" spans="6:60" hidden="1">
      <c r="F378" s="2" t="s">
        <v>502</v>
      </c>
      <c r="J378" t="s">
        <v>89</v>
      </c>
      <c r="K378" s="2" t="s">
        <v>471</v>
      </c>
      <c r="O378" s="3">
        <f t="shared" si="10"/>
        <v>3.4860000000000002</v>
      </c>
      <c r="P378" s="4">
        <v>0.88</v>
      </c>
      <c r="Q378">
        <f t="shared" si="11"/>
        <v>0.17599999999999999</v>
      </c>
      <c r="R378" s="4">
        <v>3.31</v>
      </c>
      <c r="S378">
        <v>1</v>
      </c>
      <c r="V378">
        <v>1</v>
      </c>
      <c r="W378" s="4">
        <v>3.31</v>
      </c>
      <c r="X378" t="s">
        <v>91</v>
      </c>
      <c r="Y378">
        <v>0.75</v>
      </c>
      <c r="AA378">
        <v>0</v>
      </c>
      <c r="BF378" s="4">
        <v>2025.75</v>
      </c>
      <c r="BG378" s="4"/>
      <c r="BH378" s="4">
        <v>14180</v>
      </c>
    </row>
    <row r="379" spans="6:60" hidden="1">
      <c r="F379" s="2" t="s">
        <v>503</v>
      </c>
      <c r="J379" t="s">
        <v>89</v>
      </c>
      <c r="K379" s="2" t="s">
        <v>471</v>
      </c>
      <c r="O379" s="3">
        <f t="shared" si="10"/>
        <v>2.71</v>
      </c>
      <c r="P379" s="4">
        <v>0.95</v>
      </c>
      <c r="Q379">
        <f t="shared" si="11"/>
        <v>0.19</v>
      </c>
      <c r="R379" s="4">
        <v>2.52</v>
      </c>
      <c r="S379">
        <v>1</v>
      </c>
      <c r="V379">
        <v>1</v>
      </c>
      <c r="W379" s="4">
        <v>2.52</v>
      </c>
      <c r="X379" t="s">
        <v>91</v>
      </c>
      <c r="Y379">
        <v>0.75</v>
      </c>
      <c r="AA379">
        <v>0</v>
      </c>
      <c r="BF379" s="4">
        <v>2158</v>
      </c>
      <c r="BG379" s="4"/>
      <c r="BH379" s="4">
        <v>15107</v>
      </c>
    </row>
    <row r="380" spans="6:60" hidden="1">
      <c r="F380" s="2" t="s">
        <v>504</v>
      </c>
      <c r="J380" t="s">
        <v>89</v>
      </c>
      <c r="K380" s="2" t="s">
        <v>471</v>
      </c>
      <c r="O380" s="3">
        <f t="shared" si="10"/>
        <v>1.9620000000000002</v>
      </c>
      <c r="P380" s="4">
        <v>0.46</v>
      </c>
      <c r="Q380">
        <f t="shared" si="11"/>
        <v>9.1999999999999998E-2</v>
      </c>
      <c r="R380" s="4">
        <v>1.87</v>
      </c>
      <c r="S380">
        <v>1</v>
      </c>
      <c r="V380">
        <v>1</v>
      </c>
      <c r="W380" s="4">
        <v>1.87</v>
      </c>
      <c r="X380" t="s">
        <v>91</v>
      </c>
      <c r="Y380">
        <v>0.75</v>
      </c>
      <c r="AA380">
        <v>0</v>
      </c>
      <c r="BF380" s="4">
        <v>1371.01</v>
      </c>
      <c r="BG380" s="4"/>
      <c r="BH380" s="4">
        <v>9597.09</v>
      </c>
    </row>
    <row r="381" spans="6:60" hidden="1">
      <c r="F381" s="2" t="s">
        <v>505</v>
      </c>
      <c r="J381" t="s">
        <v>89</v>
      </c>
      <c r="K381" s="2" t="s">
        <v>471</v>
      </c>
      <c r="O381" s="3">
        <f t="shared" si="10"/>
        <v>5.66</v>
      </c>
      <c r="P381" s="4">
        <v>0.35</v>
      </c>
      <c r="Q381">
        <f t="shared" si="11"/>
        <v>6.9999999999999993E-2</v>
      </c>
      <c r="R381" s="4">
        <v>5.59</v>
      </c>
      <c r="S381">
        <v>1</v>
      </c>
      <c r="V381">
        <v>1</v>
      </c>
      <c r="W381" s="4">
        <v>5.59</v>
      </c>
      <c r="X381" t="s">
        <v>91</v>
      </c>
      <c r="Y381">
        <v>0.75</v>
      </c>
      <c r="AA381">
        <v>0</v>
      </c>
      <c r="BF381" s="4">
        <v>2978</v>
      </c>
      <c r="BG381" s="4"/>
      <c r="BH381" s="4">
        <v>20843</v>
      </c>
    </row>
    <row r="382" spans="6:60" hidden="1">
      <c r="F382" s="2" t="s">
        <v>506</v>
      </c>
      <c r="J382" t="s">
        <v>89</v>
      </c>
      <c r="K382" s="2" t="s">
        <v>471</v>
      </c>
      <c r="O382" s="3">
        <f t="shared" si="10"/>
        <v>13.454000000000001</v>
      </c>
      <c r="P382" s="4">
        <v>2.27</v>
      </c>
      <c r="Q382">
        <f t="shared" si="11"/>
        <v>0.45400000000000001</v>
      </c>
      <c r="R382" s="4">
        <v>13</v>
      </c>
      <c r="S382">
        <v>1</v>
      </c>
      <c r="V382">
        <v>1</v>
      </c>
      <c r="W382" s="4">
        <v>13</v>
      </c>
      <c r="X382" t="s">
        <v>91</v>
      </c>
      <c r="Y382">
        <v>0.75</v>
      </c>
      <c r="AA382">
        <v>0</v>
      </c>
      <c r="BF382" s="4">
        <v>11000</v>
      </c>
      <c r="BG382" s="4"/>
      <c r="BH382" s="4">
        <v>77000</v>
      </c>
    </row>
    <row r="383" spans="6:60" hidden="1">
      <c r="F383" s="2" t="s">
        <v>507</v>
      </c>
      <c r="J383" t="s">
        <v>89</v>
      </c>
      <c r="K383" s="2" t="s">
        <v>471</v>
      </c>
      <c r="O383" s="3">
        <f t="shared" si="10"/>
        <v>2.9899999999999998</v>
      </c>
      <c r="P383" s="4">
        <v>0.35</v>
      </c>
      <c r="Q383">
        <f t="shared" si="11"/>
        <v>6.9999999999999993E-2</v>
      </c>
      <c r="R383" s="4">
        <v>2.92</v>
      </c>
      <c r="S383">
        <v>1</v>
      </c>
      <c r="V383">
        <v>1</v>
      </c>
      <c r="W383" s="4">
        <v>2.92</v>
      </c>
      <c r="X383" t="s">
        <v>91</v>
      </c>
      <c r="Y383">
        <v>0.75</v>
      </c>
      <c r="AA383">
        <v>0</v>
      </c>
      <c r="BF383" s="4">
        <v>1830</v>
      </c>
      <c r="BG383" s="4"/>
      <c r="BH383" s="4">
        <v>10000</v>
      </c>
    </row>
    <row r="384" spans="6:60" hidden="1">
      <c r="F384" s="2" t="s">
        <v>508</v>
      </c>
      <c r="J384" t="s">
        <v>89</v>
      </c>
      <c r="K384" s="2" t="s">
        <v>509</v>
      </c>
      <c r="O384" s="3">
        <f t="shared" si="10"/>
        <v>6.45</v>
      </c>
      <c r="P384" s="4">
        <v>0.35</v>
      </c>
      <c r="Q384">
        <f t="shared" si="11"/>
        <v>6.9999999999999993E-2</v>
      </c>
      <c r="R384" s="4">
        <v>6.38</v>
      </c>
      <c r="S384">
        <v>1</v>
      </c>
      <c r="V384">
        <v>1</v>
      </c>
      <c r="W384" s="4">
        <v>6.38</v>
      </c>
      <c r="X384" t="s">
        <v>91</v>
      </c>
      <c r="Y384">
        <v>0.75</v>
      </c>
      <c r="AA384">
        <v>0</v>
      </c>
      <c r="BF384" s="4">
        <v>2852</v>
      </c>
      <c r="BG384" s="4"/>
      <c r="BH384" s="4">
        <v>19964</v>
      </c>
    </row>
    <row r="385" spans="6:60" hidden="1">
      <c r="F385" s="2" t="s">
        <v>510</v>
      </c>
      <c r="J385" t="s">
        <v>89</v>
      </c>
      <c r="K385" s="2" t="s">
        <v>509</v>
      </c>
      <c r="O385" s="3">
        <f t="shared" si="10"/>
        <v>5.5</v>
      </c>
      <c r="P385" s="4">
        <v>1.1000000000000001</v>
      </c>
      <c r="Q385">
        <f t="shared" si="11"/>
        <v>0.22000000000000003</v>
      </c>
      <c r="R385" s="4">
        <v>5.28</v>
      </c>
      <c r="S385">
        <v>1</v>
      </c>
      <c r="V385">
        <v>1</v>
      </c>
      <c r="W385" s="4">
        <v>5.28</v>
      </c>
      <c r="X385" t="s">
        <v>91</v>
      </c>
      <c r="Y385">
        <v>0.75</v>
      </c>
      <c r="AA385">
        <v>0</v>
      </c>
      <c r="BF385" s="4">
        <v>3285</v>
      </c>
      <c r="BG385" s="4"/>
      <c r="BH385" s="4">
        <v>22975</v>
      </c>
    </row>
    <row r="386" spans="6:60" hidden="1">
      <c r="F386" s="2" t="s">
        <v>511</v>
      </c>
      <c r="J386" t="s">
        <v>89</v>
      </c>
      <c r="K386" s="2" t="s">
        <v>509</v>
      </c>
      <c r="O386" s="3">
        <f t="shared" si="10"/>
        <v>3.3620000000000001</v>
      </c>
      <c r="P386" s="4">
        <v>0.61</v>
      </c>
      <c r="Q386">
        <f t="shared" si="11"/>
        <v>0.122</v>
      </c>
      <c r="R386" s="4">
        <v>3.24</v>
      </c>
      <c r="S386">
        <v>1</v>
      </c>
      <c r="V386">
        <v>1</v>
      </c>
      <c r="W386" s="4">
        <v>3.24</v>
      </c>
      <c r="X386" t="s">
        <v>91</v>
      </c>
      <c r="Y386">
        <v>0.75</v>
      </c>
      <c r="AA386">
        <v>0</v>
      </c>
      <c r="BF386" s="4">
        <v>1588</v>
      </c>
      <c r="BG386" s="4"/>
      <c r="BH386" s="4">
        <v>11118</v>
      </c>
    </row>
    <row r="387" spans="6:60" hidden="1">
      <c r="F387" s="2" t="s">
        <v>512</v>
      </c>
      <c r="J387" t="s">
        <v>89</v>
      </c>
      <c r="K387" s="2" t="s">
        <v>509</v>
      </c>
      <c r="O387" s="3">
        <f t="shared" ref="O387:O450" si="12">Q387+R387</f>
        <v>11.026</v>
      </c>
      <c r="P387" s="4">
        <v>0.88</v>
      </c>
      <c r="Q387">
        <f t="shared" ref="Q387:Q450" si="13">P387/5</f>
        <v>0.17599999999999999</v>
      </c>
      <c r="R387" s="4">
        <v>10.85</v>
      </c>
      <c r="S387">
        <v>1</v>
      </c>
      <c r="V387">
        <v>1</v>
      </c>
      <c r="W387" s="4">
        <v>10.85</v>
      </c>
      <c r="X387" t="s">
        <v>91</v>
      </c>
      <c r="Y387">
        <v>0.75</v>
      </c>
      <c r="AA387">
        <v>0</v>
      </c>
      <c r="BF387" s="4">
        <v>5836</v>
      </c>
      <c r="BG387" s="4"/>
      <c r="BH387" s="4">
        <v>40800</v>
      </c>
    </row>
    <row r="388" spans="6:60" hidden="1">
      <c r="F388" s="2" t="s">
        <v>513</v>
      </c>
      <c r="J388" t="s">
        <v>89</v>
      </c>
      <c r="K388" s="2" t="s">
        <v>509</v>
      </c>
      <c r="O388" s="3">
        <f t="shared" si="12"/>
        <v>5.3020000000000005</v>
      </c>
      <c r="P388" s="4">
        <v>0.56000000000000005</v>
      </c>
      <c r="Q388">
        <f t="shared" si="13"/>
        <v>0.11200000000000002</v>
      </c>
      <c r="R388" s="4">
        <v>5.19</v>
      </c>
      <c r="S388">
        <v>1</v>
      </c>
      <c r="V388">
        <v>1</v>
      </c>
      <c r="W388" s="4">
        <v>5.19</v>
      </c>
      <c r="X388" t="s">
        <v>91</v>
      </c>
      <c r="Y388">
        <v>0.75</v>
      </c>
      <c r="AA388">
        <v>0</v>
      </c>
      <c r="BF388" s="4">
        <v>3450</v>
      </c>
      <c r="BG388" s="4"/>
      <c r="BH388" s="4">
        <v>24150</v>
      </c>
    </row>
    <row r="389" spans="6:60" hidden="1">
      <c r="F389" s="2" t="s">
        <v>514</v>
      </c>
      <c r="J389" t="s">
        <v>89</v>
      </c>
      <c r="K389" s="2" t="s">
        <v>509</v>
      </c>
      <c r="O389" s="3">
        <f t="shared" si="12"/>
        <v>7.6060000000000008</v>
      </c>
      <c r="P389" s="4">
        <v>0.83</v>
      </c>
      <c r="Q389">
        <f t="shared" si="13"/>
        <v>0.16599999999999998</v>
      </c>
      <c r="R389" s="4">
        <v>7.44</v>
      </c>
      <c r="S389">
        <v>1</v>
      </c>
      <c r="V389">
        <v>1</v>
      </c>
      <c r="W389" s="4">
        <v>7.44</v>
      </c>
      <c r="X389" t="s">
        <v>91</v>
      </c>
      <c r="Y389">
        <v>0.75</v>
      </c>
      <c r="AA389">
        <v>0</v>
      </c>
      <c r="BF389" s="4">
        <v>4418.6899999999996</v>
      </c>
      <c r="BG389" s="4"/>
      <c r="BH389" s="4">
        <v>30930.84</v>
      </c>
    </row>
    <row r="390" spans="6:60" hidden="1">
      <c r="F390" s="2" t="s">
        <v>515</v>
      </c>
      <c r="J390" t="s">
        <v>89</v>
      </c>
      <c r="K390" s="2" t="s">
        <v>509</v>
      </c>
      <c r="O390" s="3">
        <f t="shared" si="12"/>
        <v>4.766</v>
      </c>
      <c r="P390" s="4">
        <v>0.33</v>
      </c>
      <c r="Q390">
        <f t="shared" si="13"/>
        <v>6.6000000000000003E-2</v>
      </c>
      <c r="R390" s="4">
        <v>4.7</v>
      </c>
      <c r="S390">
        <v>1</v>
      </c>
      <c r="V390">
        <v>1</v>
      </c>
      <c r="W390" s="4">
        <v>4.7</v>
      </c>
      <c r="X390" t="s">
        <v>91</v>
      </c>
      <c r="Y390">
        <v>0.75</v>
      </c>
      <c r="AA390">
        <v>0</v>
      </c>
      <c r="BF390" s="4">
        <v>2399.1999999999998</v>
      </c>
      <c r="BG390" s="4"/>
      <c r="BH390" s="4">
        <v>16794.43</v>
      </c>
    </row>
    <row r="391" spans="6:60" hidden="1">
      <c r="F391" s="2" t="s">
        <v>516</v>
      </c>
      <c r="J391" t="s">
        <v>89</v>
      </c>
      <c r="K391" s="2" t="s">
        <v>509</v>
      </c>
      <c r="O391" s="3">
        <f t="shared" si="12"/>
        <v>6.6059999999999999</v>
      </c>
      <c r="P391" s="4">
        <v>0.53</v>
      </c>
      <c r="Q391">
        <f t="shared" si="13"/>
        <v>0.10600000000000001</v>
      </c>
      <c r="R391" s="4">
        <v>6.5</v>
      </c>
      <c r="S391">
        <v>1</v>
      </c>
      <c r="V391">
        <v>1</v>
      </c>
      <c r="W391" s="4">
        <v>6.5</v>
      </c>
      <c r="X391" t="s">
        <v>91</v>
      </c>
      <c r="Y391">
        <v>0.75</v>
      </c>
      <c r="AA391">
        <v>0</v>
      </c>
      <c r="BF391" s="4">
        <v>3376.95</v>
      </c>
      <c r="BG391" s="4"/>
      <c r="BH391" s="4">
        <v>23638.65</v>
      </c>
    </row>
    <row r="392" spans="6:60" hidden="1">
      <c r="F392" s="2" t="s">
        <v>517</v>
      </c>
      <c r="J392" t="s">
        <v>89</v>
      </c>
      <c r="K392" s="2" t="s">
        <v>509</v>
      </c>
      <c r="O392" s="3">
        <f t="shared" si="12"/>
        <v>3.1139999999999999</v>
      </c>
      <c r="P392" s="4">
        <v>0.32</v>
      </c>
      <c r="Q392">
        <f t="shared" si="13"/>
        <v>6.4000000000000001E-2</v>
      </c>
      <c r="R392" s="4">
        <v>3.05</v>
      </c>
      <c r="S392">
        <v>1</v>
      </c>
      <c r="V392">
        <v>1</v>
      </c>
      <c r="W392" s="4">
        <v>3.05</v>
      </c>
      <c r="X392" t="s">
        <v>91</v>
      </c>
      <c r="Y392">
        <v>0.75</v>
      </c>
      <c r="AA392">
        <v>0</v>
      </c>
      <c r="BF392" s="4">
        <v>1468</v>
      </c>
      <c r="BG392" s="4"/>
      <c r="BH392" s="4">
        <v>10273</v>
      </c>
    </row>
    <row r="393" spans="6:60" hidden="1">
      <c r="F393" s="2" t="s">
        <v>518</v>
      </c>
      <c r="J393" t="s">
        <v>89</v>
      </c>
      <c r="K393" s="2" t="s">
        <v>509</v>
      </c>
      <c r="O393" s="3">
        <f t="shared" si="12"/>
        <v>2.2400000000000002</v>
      </c>
      <c r="P393" s="4">
        <v>0.7</v>
      </c>
      <c r="Q393">
        <f t="shared" si="13"/>
        <v>0.13999999999999999</v>
      </c>
      <c r="R393" s="4">
        <v>2.1</v>
      </c>
      <c r="S393">
        <v>1</v>
      </c>
      <c r="V393">
        <v>1</v>
      </c>
      <c r="W393" s="4">
        <v>2.1</v>
      </c>
      <c r="X393" t="s">
        <v>91</v>
      </c>
      <c r="Y393">
        <v>0.75</v>
      </c>
      <c r="AA393">
        <v>0</v>
      </c>
      <c r="BF393" s="4">
        <v>1351.86</v>
      </c>
      <c r="BG393" s="4"/>
      <c r="BH393" s="4">
        <v>9462.99</v>
      </c>
    </row>
    <row r="394" spans="6:60" hidden="1">
      <c r="F394" s="2" t="s">
        <v>519</v>
      </c>
      <c r="J394" t="s">
        <v>89</v>
      </c>
      <c r="K394" s="2" t="s">
        <v>509</v>
      </c>
      <c r="O394" s="3">
        <f t="shared" si="12"/>
        <v>4.1280000000000001</v>
      </c>
      <c r="P394" s="4">
        <v>0.89</v>
      </c>
      <c r="Q394">
        <f t="shared" si="13"/>
        <v>0.17799999999999999</v>
      </c>
      <c r="R394" s="4">
        <v>3.95</v>
      </c>
      <c r="S394">
        <v>1</v>
      </c>
      <c r="V394">
        <v>1</v>
      </c>
      <c r="W394" s="4">
        <v>3.95</v>
      </c>
      <c r="X394" t="s">
        <v>91</v>
      </c>
      <c r="Y394">
        <v>0.75</v>
      </c>
      <c r="AA394">
        <v>0</v>
      </c>
      <c r="BF394" s="4">
        <v>2071.8200000000002</v>
      </c>
      <c r="BG394" s="4"/>
      <c r="BH394" s="4">
        <v>14502.76</v>
      </c>
    </row>
    <row r="395" spans="6:60" hidden="1">
      <c r="F395" s="2" t="s">
        <v>520</v>
      </c>
      <c r="J395" t="s">
        <v>89</v>
      </c>
      <c r="K395" s="2" t="s">
        <v>509</v>
      </c>
      <c r="O395" s="3">
        <f t="shared" si="12"/>
        <v>5.09</v>
      </c>
      <c r="P395" s="4">
        <v>0.45</v>
      </c>
      <c r="Q395">
        <f t="shared" si="13"/>
        <v>0.09</v>
      </c>
      <c r="R395" s="4">
        <v>5</v>
      </c>
      <c r="S395">
        <v>1</v>
      </c>
      <c r="V395">
        <v>1</v>
      </c>
      <c r="W395" s="4">
        <v>5</v>
      </c>
      <c r="X395" t="s">
        <v>91</v>
      </c>
      <c r="Y395">
        <v>0.75</v>
      </c>
      <c r="AA395">
        <v>0</v>
      </c>
      <c r="BF395" s="4">
        <v>2390</v>
      </c>
      <c r="BG395" s="4"/>
      <c r="BH395" s="4">
        <v>16705</v>
      </c>
    </row>
    <row r="396" spans="6:60" hidden="1">
      <c r="F396" s="2" t="s">
        <v>521</v>
      </c>
      <c r="J396" t="s">
        <v>89</v>
      </c>
      <c r="K396" s="2" t="s">
        <v>509</v>
      </c>
      <c r="O396" s="3">
        <f t="shared" si="12"/>
        <v>4.1844000000000001</v>
      </c>
      <c r="P396" s="4">
        <v>1.0720000000000001</v>
      </c>
      <c r="Q396">
        <f t="shared" si="13"/>
        <v>0.21440000000000001</v>
      </c>
      <c r="R396" s="4">
        <v>3.97</v>
      </c>
      <c r="S396">
        <v>1</v>
      </c>
      <c r="V396">
        <v>1</v>
      </c>
      <c r="W396" s="4">
        <v>3.97</v>
      </c>
      <c r="X396" t="s">
        <v>91</v>
      </c>
      <c r="Y396">
        <v>0.75</v>
      </c>
      <c r="AA396">
        <v>0</v>
      </c>
      <c r="BF396" s="4">
        <v>4077.05</v>
      </c>
      <c r="BG396" s="4"/>
      <c r="BH396" s="4">
        <v>28540</v>
      </c>
    </row>
    <row r="397" spans="6:60" hidden="1">
      <c r="F397" s="2" t="s">
        <v>522</v>
      </c>
      <c r="J397" t="s">
        <v>89</v>
      </c>
      <c r="K397" s="2" t="s">
        <v>509</v>
      </c>
      <c r="O397" s="3">
        <f t="shared" si="12"/>
        <v>1.9687999999999999</v>
      </c>
      <c r="P397" s="4">
        <v>0.14399999999999999</v>
      </c>
      <c r="Q397">
        <f t="shared" si="13"/>
        <v>2.8799999999999999E-2</v>
      </c>
      <c r="R397" s="4">
        <v>1.94</v>
      </c>
      <c r="S397">
        <v>1</v>
      </c>
      <c r="V397">
        <v>1</v>
      </c>
      <c r="W397" s="4">
        <v>1.94</v>
      </c>
      <c r="X397" t="s">
        <v>91</v>
      </c>
      <c r="Y397">
        <v>0.75</v>
      </c>
      <c r="AA397">
        <v>0</v>
      </c>
      <c r="BF397" s="4">
        <v>1022</v>
      </c>
      <c r="BG397" s="4"/>
      <c r="BH397" s="4">
        <v>7154</v>
      </c>
    </row>
    <row r="398" spans="6:60" hidden="1">
      <c r="F398" s="2" t="s">
        <v>523</v>
      </c>
      <c r="J398" t="s">
        <v>89</v>
      </c>
      <c r="K398" s="2" t="s">
        <v>509</v>
      </c>
      <c r="O398" s="3">
        <f t="shared" si="12"/>
        <v>2.2431999999999999</v>
      </c>
      <c r="P398" s="4">
        <v>0.36599999999999999</v>
      </c>
      <c r="Q398">
        <f t="shared" si="13"/>
        <v>7.3200000000000001E-2</v>
      </c>
      <c r="R398" s="4">
        <v>2.17</v>
      </c>
      <c r="S398">
        <v>1</v>
      </c>
      <c r="V398">
        <v>1</v>
      </c>
      <c r="W398" s="4">
        <v>2.17</v>
      </c>
      <c r="X398" t="s">
        <v>91</v>
      </c>
      <c r="Y398">
        <v>0.75</v>
      </c>
      <c r="AA398">
        <v>0</v>
      </c>
      <c r="BF398" s="4">
        <v>1350.5</v>
      </c>
      <c r="BG398" s="4"/>
      <c r="BH398" s="4">
        <v>9455</v>
      </c>
    </row>
    <row r="399" spans="6:60" hidden="1">
      <c r="F399" s="2" t="s">
        <v>524</v>
      </c>
      <c r="J399" t="s">
        <v>89</v>
      </c>
      <c r="K399" s="2" t="s">
        <v>509</v>
      </c>
      <c r="O399" s="3">
        <f t="shared" si="12"/>
        <v>2.0859999999999999</v>
      </c>
      <c r="P399" s="4">
        <v>0.18</v>
      </c>
      <c r="Q399">
        <f t="shared" si="13"/>
        <v>3.5999999999999997E-2</v>
      </c>
      <c r="R399" s="4">
        <v>2.0499999999999998</v>
      </c>
      <c r="S399">
        <v>1</v>
      </c>
      <c r="V399">
        <v>1</v>
      </c>
      <c r="W399" s="4">
        <v>2.0499999999999998</v>
      </c>
      <c r="X399" t="s">
        <v>91</v>
      </c>
      <c r="Y399">
        <v>0.75</v>
      </c>
      <c r="AA399">
        <v>0</v>
      </c>
      <c r="BF399" s="4">
        <v>1058.5</v>
      </c>
      <c r="BG399" s="4"/>
      <c r="BH399" s="4">
        <v>7410</v>
      </c>
    </row>
    <row r="400" spans="6:60" hidden="1">
      <c r="F400" s="2" t="s">
        <v>525</v>
      </c>
      <c r="J400" t="s">
        <v>89</v>
      </c>
      <c r="K400" s="2" t="s">
        <v>509</v>
      </c>
      <c r="O400" s="3">
        <f t="shared" si="12"/>
        <v>1.9922</v>
      </c>
      <c r="P400" s="4">
        <v>0.36099999999999999</v>
      </c>
      <c r="Q400">
        <f t="shared" si="13"/>
        <v>7.22E-2</v>
      </c>
      <c r="R400" s="4">
        <v>1.92</v>
      </c>
      <c r="S400">
        <v>1</v>
      </c>
      <c r="V400">
        <v>1</v>
      </c>
      <c r="W400" s="4">
        <v>1.92</v>
      </c>
      <c r="X400" t="s">
        <v>91</v>
      </c>
      <c r="Y400">
        <v>0.75</v>
      </c>
      <c r="AA400">
        <v>0</v>
      </c>
      <c r="BF400" s="4">
        <v>1241</v>
      </c>
      <c r="BG400" s="4"/>
      <c r="BH400" s="4">
        <v>8687</v>
      </c>
    </row>
    <row r="401" spans="6:60" hidden="1">
      <c r="F401" s="2" t="s">
        <v>526</v>
      </c>
      <c r="J401" t="s">
        <v>89</v>
      </c>
      <c r="K401" s="2" t="s">
        <v>509</v>
      </c>
      <c r="O401" s="3">
        <f t="shared" si="12"/>
        <v>2.1606000000000001</v>
      </c>
      <c r="P401" s="4">
        <v>0.40300000000000002</v>
      </c>
      <c r="Q401">
        <f t="shared" si="13"/>
        <v>8.0600000000000005E-2</v>
      </c>
      <c r="R401" s="4">
        <v>2.08</v>
      </c>
      <c r="S401">
        <v>1</v>
      </c>
      <c r="V401">
        <v>1</v>
      </c>
      <c r="W401" s="4">
        <v>2.08</v>
      </c>
      <c r="X401" t="s">
        <v>91</v>
      </c>
      <c r="Y401">
        <v>0.75</v>
      </c>
      <c r="AA401">
        <v>0</v>
      </c>
      <c r="BF401" s="4">
        <v>1368.75</v>
      </c>
      <c r="BG401" s="4"/>
      <c r="BH401" s="4">
        <v>9582</v>
      </c>
    </row>
    <row r="402" spans="6:60" hidden="1">
      <c r="F402" s="2" t="s">
        <v>527</v>
      </c>
      <c r="J402" t="s">
        <v>89</v>
      </c>
      <c r="K402" s="2" t="s">
        <v>509</v>
      </c>
      <c r="O402" s="3">
        <f t="shared" si="12"/>
        <v>3.8504</v>
      </c>
      <c r="P402" s="4">
        <v>0.59199999999999997</v>
      </c>
      <c r="Q402">
        <f t="shared" si="13"/>
        <v>0.11839999999999999</v>
      </c>
      <c r="R402" s="4">
        <v>3.7320000000000002</v>
      </c>
      <c r="S402">
        <v>1</v>
      </c>
      <c r="V402">
        <v>1</v>
      </c>
      <c r="W402" s="4">
        <v>3.7320000000000002</v>
      </c>
      <c r="X402" t="s">
        <v>91</v>
      </c>
      <c r="Y402">
        <v>0.75</v>
      </c>
      <c r="AA402">
        <v>0</v>
      </c>
      <c r="BF402" s="4">
        <v>3887.25</v>
      </c>
      <c r="BG402" s="4"/>
      <c r="BH402" s="4">
        <v>27211</v>
      </c>
    </row>
    <row r="403" spans="6:60" hidden="1">
      <c r="F403" s="2" t="s">
        <v>528</v>
      </c>
      <c r="J403" t="s">
        <v>89</v>
      </c>
      <c r="K403" s="2" t="s">
        <v>509</v>
      </c>
      <c r="O403" s="3">
        <f t="shared" si="12"/>
        <v>4.1901999999999999</v>
      </c>
      <c r="P403" s="4">
        <v>0.64100000000000001</v>
      </c>
      <c r="Q403">
        <f t="shared" si="13"/>
        <v>0.12820000000000001</v>
      </c>
      <c r="R403" s="4">
        <v>4.0620000000000003</v>
      </c>
      <c r="S403">
        <v>1</v>
      </c>
      <c r="V403">
        <v>1</v>
      </c>
      <c r="W403" s="4">
        <v>4.0620000000000003</v>
      </c>
      <c r="X403" t="s">
        <v>91</v>
      </c>
      <c r="Y403">
        <v>0.75</v>
      </c>
      <c r="AA403">
        <v>0</v>
      </c>
      <c r="BF403" s="4">
        <v>4288.75</v>
      </c>
      <c r="BG403" s="4"/>
      <c r="BH403" s="4">
        <v>30022</v>
      </c>
    </row>
    <row r="404" spans="6:60" hidden="1">
      <c r="F404" s="2" t="s">
        <v>529</v>
      </c>
      <c r="J404" t="s">
        <v>89</v>
      </c>
      <c r="K404" s="2" t="s">
        <v>509</v>
      </c>
      <c r="O404" s="3">
        <f t="shared" si="12"/>
        <v>2.8923999999999999</v>
      </c>
      <c r="P404" s="4">
        <v>0.71199999999999997</v>
      </c>
      <c r="Q404">
        <f t="shared" si="13"/>
        <v>0.1424</v>
      </c>
      <c r="R404" s="4">
        <v>2.75</v>
      </c>
      <c r="S404">
        <v>1</v>
      </c>
      <c r="V404">
        <v>1</v>
      </c>
      <c r="W404" s="4">
        <v>2.75</v>
      </c>
      <c r="X404" t="s">
        <v>91</v>
      </c>
      <c r="Y404">
        <v>0.75</v>
      </c>
      <c r="AA404">
        <v>0</v>
      </c>
      <c r="BF404" s="4">
        <v>2368.85</v>
      </c>
      <c r="BG404" s="4"/>
      <c r="BH404" s="4">
        <v>16585</v>
      </c>
    </row>
    <row r="405" spans="6:60" hidden="1">
      <c r="F405" s="2" t="s">
        <v>530</v>
      </c>
      <c r="J405" t="s">
        <v>89</v>
      </c>
      <c r="K405" s="2" t="s">
        <v>509</v>
      </c>
      <c r="O405" s="3">
        <f t="shared" si="12"/>
        <v>2.972</v>
      </c>
      <c r="P405" s="4">
        <v>0.25</v>
      </c>
      <c r="Q405">
        <f t="shared" si="13"/>
        <v>0.05</v>
      </c>
      <c r="R405" s="4">
        <v>2.9220000000000002</v>
      </c>
      <c r="S405">
        <v>1</v>
      </c>
      <c r="V405">
        <v>1</v>
      </c>
      <c r="W405" s="4">
        <v>2.9220000000000002</v>
      </c>
      <c r="X405" t="s">
        <v>91</v>
      </c>
      <c r="Y405">
        <v>0.75</v>
      </c>
      <c r="AA405">
        <v>0</v>
      </c>
      <c r="BF405" s="4">
        <v>1595.96</v>
      </c>
      <c r="BG405" s="4"/>
      <c r="BH405" s="4">
        <v>11175</v>
      </c>
    </row>
    <row r="406" spans="6:60" hidden="1">
      <c r="F406" s="2" t="s">
        <v>531</v>
      </c>
      <c r="J406" t="s">
        <v>89</v>
      </c>
      <c r="K406" s="2" t="s">
        <v>509</v>
      </c>
      <c r="O406" s="3">
        <f t="shared" si="12"/>
        <v>4.7404000000000002</v>
      </c>
      <c r="P406" s="4">
        <v>1.0369999999999999</v>
      </c>
      <c r="Q406">
        <f t="shared" si="13"/>
        <v>0.20739999999999997</v>
      </c>
      <c r="R406" s="4">
        <v>4.5330000000000004</v>
      </c>
      <c r="S406">
        <v>1</v>
      </c>
      <c r="V406">
        <v>1</v>
      </c>
      <c r="W406" s="4">
        <v>4.5330000000000004</v>
      </c>
      <c r="X406" t="s">
        <v>91</v>
      </c>
      <c r="Y406">
        <v>0.75</v>
      </c>
      <c r="AA406">
        <v>0</v>
      </c>
      <c r="BF406" s="4">
        <v>4281.99</v>
      </c>
      <c r="BG406" s="4"/>
      <c r="BH406" s="4">
        <v>29975</v>
      </c>
    </row>
    <row r="407" spans="6:60" hidden="1">
      <c r="F407" s="2" t="s">
        <v>532</v>
      </c>
      <c r="J407" t="s">
        <v>89</v>
      </c>
      <c r="K407" s="2" t="s">
        <v>509</v>
      </c>
      <c r="O407" s="3">
        <f t="shared" si="12"/>
        <v>3.7839999999999998</v>
      </c>
      <c r="P407" s="4">
        <v>0.17</v>
      </c>
      <c r="Q407">
        <f t="shared" si="13"/>
        <v>3.4000000000000002E-2</v>
      </c>
      <c r="R407" s="4">
        <v>3.75</v>
      </c>
      <c r="S407">
        <v>1</v>
      </c>
      <c r="V407">
        <v>1</v>
      </c>
      <c r="W407" s="4">
        <v>3.75</v>
      </c>
      <c r="X407" t="s">
        <v>91</v>
      </c>
      <c r="Y407">
        <v>0.75</v>
      </c>
      <c r="AA407">
        <v>0</v>
      </c>
      <c r="BF407" s="4">
        <v>1766.92</v>
      </c>
      <c r="BG407" s="4"/>
      <c r="BH407" s="4">
        <v>12368.44</v>
      </c>
    </row>
    <row r="408" spans="6:60" hidden="1">
      <c r="F408" s="2" t="s">
        <v>533</v>
      </c>
      <c r="J408" t="s">
        <v>89</v>
      </c>
      <c r="K408" s="2" t="s">
        <v>509</v>
      </c>
      <c r="O408" s="3">
        <f t="shared" si="12"/>
        <v>3.3459999999999996</v>
      </c>
      <c r="P408" s="4">
        <v>0.23</v>
      </c>
      <c r="Q408">
        <f t="shared" si="13"/>
        <v>4.5999999999999999E-2</v>
      </c>
      <c r="R408" s="4">
        <v>3.3</v>
      </c>
      <c r="S408">
        <v>1</v>
      </c>
      <c r="V408">
        <v>1</v>
      </c>
      <c r="W408" s="4">
        <v>3.3</v>
      </c>
      <c r="X408" t="s">
        <v>91</v>
      </c>
      <c r="Y408">
        <v>0.75</v>
      </c>
      <c r="AA408">
        <v>0</v>
      </c>
      <c r="BF408" s="4">
        <v>1220</v>
      </c>
      <c r="BG408" s="4"/>
      <c r="BH408" s="4">
        <v>8543</v>
      </c>
    </row>
    <row r="409" spans="6:60" hidden="1">
      <c r="F409" s="2" t="s">
        <v>534</v>
      </c>
      <c r="J409" t="s">
        <v>89</v>
      </c>
      <c r="K409" s="2" t="s">
        <v>509</v>
      </c>
      <c r="O409" s="3">
        <f t="shared" si="12"/>
        <v>6.8900000000000006</v>
      </c>
      <c r="P409" s="4">
        <v>0.55000000000000004</v>
      </c>
      <c r="Q409">
        <f t="shared" si="13"/>
        <v>0.11000000000000001</v>
      </c>
      <c r="R409" s="4">
        <v>6.78</v>
      </c>
      <c r="S409">
        <v>1</v>
      </c>
      <c r="V409">
        <v>1</v>
      </c>
      <c r="W409" s="4">
        <v>6.78</v>
      </c>
      <c r="X409" t="s">
        <v>91</v>
      </c>
      <c r="Y409">
        <v>0.75</v>
      </c>
      <c r="AA409">
        <v>0</v>
      </c>
      <c r="BF409" s="4">
        <v>4600</v>
      </c>
      <c r="BG409" s="4"/>
      <c r="BH409" s="4">
        <v>32000</v>
      </c>
    </row>
    <row r="410" spans="6:60" hidden="1">
      <c r="F410" s="2" t="s">
        <v>535</v>
      </c>
      <c r="J410" t="s">
        <v>89</v>
      </c>
      <c r="K410" s="2" t="s">
        <v>509</v>
      </c>
      <c r="O410" s="3">
        <f t="shared" si="12"/>
        <v>2.96</v>
      </c>
      <c r="P410" s="4">
        <v>0.6</v>
      </c>
      <c r="Q410">
        <f t="shared" si="13"/>
        <v>0.12</v>
      </c>
      <c r="R410" s="4">
        <v>2.84</v>
      </c>
      <c r="S410">
        <v>1</v>
      </c>
      <c r="V410">
        <v>1</v>
      </c>
      <c r="W410" s="4">
        <v>2.84</v>
      </c>
      <c r="X410" t="s">
        <v>91</v>
      </c>
      <c r="Y410">
        <v>0.75</v>
      </c>
      <c r="AA410">
        <v>0</v>
      </c>
      <c r="BF410" s="4">
        <v>2511.1999999999998</v>
      </c>
      <c r="BG410" s="4"/>
      <c r="BH410" s="4">
        <v>17578.400000000001</v>
      </c>
    </row>
    <row r="411" spans="6:60" hidden="1">
      <c r="F411" s="2" t="s">
        <v>536</v>
      </c>
      <c r="J411" t="s">
        <v>89</v>
      </c>
      <c r="K411" s="2" t="s">
        <v>509</v>
      </c>
      <c r="O411" s="3">
        <f t="shared" si="12"/>
        <v>4.024</v>
      </c>
      <c r="P411" s="4">
        <v>0.62</v>
      </c>
      <c r="Q411">
        <f t="shared" si="13"/>
        <v>0.124</v>
      </c>
      <c r="R411" s="4">
        <v>3.9</v>
      </c>
      <c r="S411">
        <v>1</v>
      </c>
      <c r="V411">
        <v>1</v>
      </c>
      <c r="W411" s="4">
        <v>3.9</v>
      </c>
      <c r="X411" t="s">
        <v>91</v>
      </c>
      <c r="Y411">
        <v>0.75</v>
      </c>
      <c r="AA411">
        <v>0</v>
      </c>
      <c r="BF411" s="4">
        <v>2939</v>
      </c>
      <c r="BG411" s="4"/>
      <c r="BH411" s="4">
        <v>20500</v>
      </c>
    </row>
    <row r="412" spans="6:60" hidden="1">
      <c r="F412" s="2" t="s">
        <v>537</v>
      </c>
      <c r="J412" t="s">
        <v>89</v>
      </c>
      <c r="K412" s="2" t="s">
        <v>509</v>
      </c>
      <c r="O412" s="3">
        <f t="shared" si="12"/>
        <v>3.7480000000000002</v>
      </c>
      <c r="P412" s="4">
        <v>0.84</v>
      </c>
      <c r="Q412">
        <f t="shared" si="13"/>
        <v>0.16799999999999998</v>
      </c>
      <c r="R412" s="4">
        <v>3.58</v>
      </c>
      <c r="S412">
        <v>1</v>
      </c>
      <c r="V412">
        <v>1</v>
      </c>
      <c r="W412" s="4">
        <v>3.58</v>
      </c>
      <c r="X412" t="s">
        <v>91</v>
      </c>
      <c r="Y412">
        <v>0.75</v>
      </c>
      <c r="AA412">
        <v>0</v>
      </c>
      <c r="BF412" s="4">
        <v>3416</v>
      </c>
      <c r="BG412" s="4"/>
      <c r="BH412" s="4">
        <v>23900</v>
      </c>
    </row>
    <row r="413" spans="6:60" hidden="1">
      <c r="F413" s="2" t="s">
        <v>538</v>
      </c>
      <c r="J413" t="s">
        <v>89</v>
      </c>
      <c r="K413" s="2" t="s">
        <v>509</v>
      </c>
      <c r="O413" s="3">
        <f t="shared" si="12"/>
        <v>2.9259999999999997</v>
      </c>
      <c r="P413" s="4">
        <v>0.33</v>
      </c>
      <c r="Q413">
        <f t="shared" si="13"/>
        <v>6.6000000000000003E-2</v>
      </c>
      <c r="R413" s="4">
        <v>2.86</v>
      </c>
      <c r="S413">
        <v>1</v>
      </c>
      <c r="V413">
        <v>1</v>
      </c>
      <c r="W413" s="4">
        <v>2.86</v>
      </c>
      <c r="X413" t="s">
        <v>91</v>
      </c>
      <c r="Y413">
        <v>0.75</v>
      </c>
      <c r="AA413">
        <v>0</v>
      </c>
      <c r="BF413" s="4">
        <v>1787</v>
      </c>
      <c r="BG413" s="4"/>
      <c r="BH413" s="4">
        <v>12500</v>
      </c>
    </row>
    <row r="414" spans="6:60" hidden="1">
      <c r="F414" s="2" t="s">
        <v>539</v>
      </c>
      <c r="J414" t="s">
        <v>89</v>
      </c>
      <c r="K414" s="2" t="s">
        <v>509</v>
      </c>
      <c r="O414" s="3">
        <f t="shared" si="12"/>
        <v>3.9899999999999998</v>
      </c>
      <c r="P414" s="4">
        <v>0.45</v>
      </c>
      <c r="Q414">
        <f t="shared" si="13"/>
        <v>0.09</v>
      </c>
      <c r="R414" s="4">
        <v>3.9</v>
      </c>
      <c r="S414">
        <v>1</v>
      </c>
      <c r="V414">
        <v>1</v>
      </c>
      <c r="W414" s="4">
        <v>3.9</v>
      </c>
      <c r="X414" t="s">
        <v>91</v>
      </c>
      <c r="Y414">
        <v>0.75</v>
      </c>
      <c r="AA414">
        <v>0</v>
      </c>
      <c r="BF414" s="4">
        <v>2638</v>
      </c>
      <c r="BG414" s="4"/>
      <c r="BH414" s="4">
        <v>18460</v>
      </c>
    </row>
    <row r="415" spans="6:60" hidden="1">
      <c r="F415" s="2" t="s">
        <v>540</v>
      </c>
      <c r="J415" t="s">
        <v>89</v>
      </c>
      <c r="K415" s="2" t="s">
        <v>509</v>
      </c>
      <c r="O415" s="3">
        <f t="shared" si="12"/>
        <v>4.0659999999999998</v>
      </c>
      <c r="P415" s="4">
        <v>0.43</v>
      </c>
      <c r="Q415">
        <f t="shared" si="13"/>
        <v>8.5999999999999993E-2</v>
      </c>
      <c r="R415" s="4">
        <v>3.98</v>
      </c>
      <c r="S415">
        <v>1</v>
      </c>
      <c r="V415">
        <v>1</v>
      </c>
      <c r="W415" s="4">
        <v>3.98</v>
      </c>
      <c r="X415" t="s">
        <v>91</v>
      </c>
      <c r="Y415">
        <v>0.75</v>
      </c>
      <c r="AA415">
        <v>0</v>
      </c>
      <c r="BF415" s="4">
        <v>2334</v>
      </c>
      <c r="BG415" s="4"/>
      <c r="BH415" s="4">
        <v>16300</v>
      </c>
    </row>
    <row r="416" spans="6:60" hidden="1">
      <c r="F416" s="2" t="s">
        <v>541</v>
      </c>
      <c r="J416" t="s">
        <v>89</v>
      </c>
      <c r="K416" s="2" t="s">
        <v>509</v>
      </c>
      <c r="O416" s="3">
        <f t="shared" si="12"/>
        <v>3.1694</v>
      </c>
      <c r="P416" s="4">
        <v>4.7E-2</v>
      </c>
      <c r="Q416">
        <f t="shared" si="13"/>
        <v>9.4000000000000004E-3</v>
      </c>
      <c r="R416" s="4">
        <v>3.16</v>
      </c>
      <c r="S416">
        <v>1</v>
      </c>
      <c r="V416">
        <v>1</v>
      </c>
      <c r="W416" s="4">
        <v>3.16</v>
      </c>
      <c r="X416" t="s">
        <v>91</v>
      </c>
      <c r="Y416">
        <v>0.75</v>
      </c>
      <c r="AA416">
        <v>0</v>
      </c>
      <c r="BF416" s="4">
        <v>1338</v>
      </c>
      <c r="BG416" s="4"/>
      <c r="BH416" s="4">
        <v>9366</v>
      </c>
    </row>
    <row r="417" spans="6:60" hidden="1">
      <c r="F417" s="2" t="s">
        <v>542</v>
      </c>
      <c r="J417" t="s">
        <v>89</v>
      </c>
      <c r="K417" s="2" t="s">
        <v>509</v>
      </c>
      <c r="O417" s="3">
        <f t="shared" si="12"/>
        <v>6.7549999999999999</v>
      </c>
      <c r="P417" s="4">
        <v>0.54</v>
      </c>
      <c r="Q417">
        <f t="shared" si="13"/>
        <v>0.10800000000000001</v>
      </c>
      <c r="R417" s="4">
        <v>6.6470000000000002</v>
      </c>
      <c r="S417">
        <v>1</v>
      </c>
      <c r="V417">
        <v>1</v>
      </c>
      <c r="W417" s="4">
        <v>6.6470000000000002</v>
      </c>
      <c r="X417" t="s">
        <v>91</v>
      </c>
      <c r="Y417">
        <v>0.75</v>
      </c>
      <c r="AA417">
        <v>0</v>
      </c>
      <c r="BF417" s="4">
        <v>4679.4799999999996</v>
      </c>
      <c r="BG417" s="4"/>
      <c r="BH417" s="4">
        <v>32756.36</v>
      </c>
    </row>
    <row r="418" spans="6:60" hidden="1">
      <c r="F418" s="2" t="s">
        <v>543</v>
      </c>
      <c r="J418" t="s">
        <v>89</v>
      </c>
      <c r="K418" s="2" t="s">
        <v>509</v>
      </c>
      <c r="O418" s="3">
        <f t="shared" si="12"/>
        <v>2.3942000000000001</v>
      </c>
      <c r="P418" s="4">
        <v>0.221</v>
      </c>
      <c r="Q418">
        <f t="shared" si="13"/>
        <v>4.4200000000000003E-2</v>
      </c>
      <c r="R418" s="4">
        <v>2.35</v>
      </c>
      <c r="S418">
        <v>1</v>
      </c>
      <c r="V418">
        <v>1</v>
      </c>
      <c r="W418" s="4">
        <v>2.35</v>
      </c>
      <c r="X418" t="s">
        <v>91</v>
      </c>
      <c r="Y418">
        <v>0.75</v>
      </c>
      <c r="AA418">
        <v>0</v>
      </c>
      <c r="BF418" s="4">
        <v>1250.67</v>
      </c>
      <c r="BG418" s="4"/>
      <c r="BH418" s="4">
        <v>8754.69</v>
      </c>
    </row>
    <row r="419" spans="6:60" hidden="1">
      <c r="F419" s="2" t="s">
        <v>544</v>
      </c>
      <c r="J419" t="s">
        <v>89</v>
      </c>
      <c r="K419" s="2" t="s">
        <v>509</v>
      </c>
      <c r="O419" s="3">
        <f t="shared" si="12"/>
        <v>1.7855999999999999</v>
      </c>
      <c r="P419" s="4">
        <v>0.17299999999999999</v>
      </c>
      <c r="Q419">
        <f t="shared" si="13"/>
        <v>3.4599999999999999E-2</v>
      </c>
      <c r="R419" s="4">
        <v>1.7509999999999999</v>
      </c>
      <c r="S419">
        <v>1</v>
      </c>
      <c r="V419">
        <v>1</v>
      </c>
      <c r="W419" s="4">
        <v>1.7509999999999999</v>
      </c>
      <c r="X419" t="s">
        <v>91</v>
      </c>
      <c r="Y419">
        <v>0.75</v>
      </c>
      <c r="AA419">
        <v>0</v>
      </c>
      <c r="BF419" s="4">
        <v>1174.3900000000001</v>
      </c>
      <c r="BG419" s="4"/>
      <c r="BH419" s="4">
        <v>8220.73</v>
      </c>
    </row>
    <row r="420" spans="6:60" hidden="1">
      <c r="F420" s="2" t="s">
        <v>545</v>
      </c>
      <c r="J420" t="s">
        <v>89</v>
      </c>
      <c r="K420" s="2" t="s">
        <v>509</v>
      </c>
      <c r="O420" s="3">
        <f t="shared" si="12"/>
        <v>2.218</v>
      </c>
      <c r="P420" s="4">
        <v>0.59</v>
      </c>
      <c r="Q420">
        <f t="shared" si="13"/>
        <v>0.11799999999999999</v>
      </c>
      <c r="R420" s="4">
        <v>2.1</v>
      </c>
      <c r="S420">
        <v>1</v>
      </c>
      <c r="V420">
        <v>1</v>
      </c>
      <c r="W420" s="4">
        <v>2.1</v>
      </c>
      <c r="X420" t="s">
        <v>91</v>
      </c>
      <c r="Y420">
        <v>0.75</v>
      </c>
      <c r="AA420">
        <v>0</v>
      </c>
      <c r="BF420" s="4">
        <v>2530</v>
      </c>
      <c r="BG420" s="4"/>
      <c r="BH420" s="4">
        <v>17750</v>
      </c>
    </row>
    <row r="421" spans="6:60" hidden="1">
      <c r="F421" s="2" t="s">
        <v>546</v>
      </c>
      <c r="J421" t="s">
        <v>89</v>
      </c>
      <c r="K421" s="2" t="s">
        <v>509</v>
      </c>
      <c r="O421" s="3">
        <f t="shared" si="12"/>
        <v>2.31</v>
      </c>
      <c r="P421" s="4">
        <v>0.3</v>
      </c>
      <c r="Q421">
        <f t="shared" si="13"/>
        <v>0.06</v>
      </c>
      <c r="R421" s="4">
        <v>2.25</v>
      </c>
      <c r="S421">
        <v>1</v>
      </c>
      <c r="V421">
        <v>1</v>
      </c>
      <c r="W421" s="4">
        <v>2.25</v>
      </c>
      <c r="X421" t="s">
        <v>91</v>
      </c>
      <c r="Y421">
        <v>0.75</v>
      </c>
      <c r="AA421">
        <v>0</v>
      </c>
      <c r="BF421" s="4">
        <v>1592</v>
      </c>
      <c r="BG421" s="4"/>
      <c r="BH421" s="4">
        <v>11144</v>
      </c>
    </row>
    <row r="422" spans="6:60" hidden="1">
      <c r="F422" s="2" t="s">
        <v>547</v>
      </c>
      <c r="J422" t="s">
        <v>89</v>
      </c>
      <c r="K422" s="2" t="s">
        <v>509</v>
      </c>
      <c r="O422" s="3">
        <f t="shared" si="12"/>
        <v>2.7803999999999998</v>
      </c>
      <c r="P422" s="4">
        <v>0.45200000000000001</v>
      </c>
      <c r="Q422">
        <f t="shared" si="13"/>
        <v>9.0400000000000008E-2</v>
      </c>
      <c r="R422" s="4">
        <v>2.69</v>
      </c>
      <c r="S422">
        <v>1</v>
      </c>
      <c r="V422">
        <v>1</v>
      </c>
      <c r="W422" s="4">
        <v>2.69</v>
      </c>
      <c r="X422" t="s">
        <v>91</v>
      </c>
      <c r="Y422">
        <v>0.75</v>
      </c>
      <c r="AA422">
        <v>0</v>
      </c>
      <c r="BF422" s="4">
        <v>2333</v>
      </c>
      <c r="BG422" s="4"/>
      <c r="BH422" s="4">
        <v>16331</v>
      </c>
    </row>
    <row r="423" spans="6:60" hidden="1">
      <c r="F423" s="2" t="s">
        <v>548</v>
      </c>
      <c r="J423" t="s">
        <v>89</v>
      </c>
      <c r="K423" s="2" t="s">
        <v>509</v>
      </c>
      <c r="O423" s="3">
        <f t="shared" si="12"/>
        <v>3.6798000000000002</v>
      </c>
      <c r="P423" s="4">
        <v>0.30399999999999999</v>
      </c>
      <c r="Q423">
        <f t="shared" si="13"/>
        <v>6.08E-2</v>
      </c>
      <c r="R423" s="4">
        <v>3.6190000000000002</v>
      </c>
      <c r="S423">
        <v>1</v>
      </c>
      <c r="V423">
        <v>1</v>
      </c>
      <c r="W423" s="4">
        <v>3.6190000000000002</v>
      </c>
      <c r="X423" t="s">
        <v>91</v>
      </c>
      <c r="Y423">
        <v>0.75</v>
      </c>
      <c r="AA423">
        <v>0</v>
      </c>
      <c r="BF423" s="4">
        <v>2066</v>
      </c>
      <c r="BG423" s="4"/>
      <c r="BH423" s="4">
        <v>14462</v>
      </c>
    </row>
    <row r="424" spans="6:60" hidden="1">
      <c r="F424" s="2" t="s">
        <v>549</v>
      </c>
      <c r="J424" t="s">
        <v>89</v>
      </c>
      <c r="K424" s="2" t="s">
        <v>509</v>
      </c>
      <c r="O424" s="3">
        <f t="shared" si="12"/>
        <v>2.0539999999999998</v>
      </c>
      <c r="P424" s="4">
        <v>0.22</v>
      </c>
      <c r="Q424">
        <f t="shared" si="13"/>
        <v>4.3999999999999997E-2</v>
      </c>
      <c r="R424" s="4">
        <v>2.0099999999999998</v>
      </c>
      <c r="S424">
        <v>1</v>
      </c>
      <c r="V424">
        <v>1</v>
      </c>
      <c r="W424" s="4">
        <v>2.0099999999999998</v>
      </c>
      <c r="X424" t="s">
        <v>91</v>
      </c>
      <c r="Y424">
        <v>0.75</v>
      </c>
      <c r="AA424">
        <v>0</v>
      </c>
      <c r="BF424" s="4">
        <v>1700</v>
      </c>
      <c r="BG424" s="4"/>
      <c r="BH424" s="4">
        <v>11900</v>
      </c>
    </row>
    <row r="425" spans="6:60" hidden="1">
      <c r="F425" s="2" t="s">
        <v>550</v>
      </c>
      <c r="J425" t="s">
        <v>89</v>
      </c>
      <c r="K425" s="2" t="s">
        <v>509</v>
      </c>
      <c r="O425" s="3">
        <f t="shared" si="12"/>
        <v>2.0859999999999999</v>
      </c>
      <c r="P425" s="4">
        <v>0.18</v>
      </c>
      <c r="Q425">
        <f t="shared" si="13"/>
        <v>3.5999999999999997E-2</v>
      </c>
      <c r="R425" s="4">
        <v>2.0499999999999998</v>
      </c>
      <c r="S425">
        <v>1</v>
      </c>
      <c r="V425">
        <v>1</v>
      </c>
      <c r="W425" s="4">
        <v>2.0499999999999998</v>
      </c>
      <c r="X425" t="s">
        <v>91</v>
      </c>
      <c r="Y425">
        <v>0.75</v>
      </c>
      <c r="AA425">
        <v>0</v>
      </c>
      <c r="BF425" s="4">
        <v>529.25</v>
      </c>
      <c r="BG425" s="4"/>
      <c r="BH425" s="4">
        <v>3705</v>
      </c>
    </row>
    <row r="426" spans="6:60" hidden="1">
      <c r="F426" s="2" t="s">
        <v>551</v>
      </c>
      <c r="J426" t="s">
        <v>89</v>
      </c>
      <c r="K426" s="2" t="s">
        <v>509</v>
      </c>
      <c r="O426" s="3">
        <f t="shared" si="12"/>
        <v>4.83</v>
      </c>
      <c r="P426" s="4">
        <v>1.5</v>
      </c>
      <c r="Q426">
        <f t="shared" si="13"/>
        <v>0.3</v>
      </c>
      <c r="R426" s="4">
        <v>4.53</v>
      </c>
      <c r="S426">
        <v>1</v>
      </c>
      <c r="V426">
        <v>1</v>
      </c>
      <c r="W426" s="4">
        <v>4.53</v>
      </c>
      <c r="X426" t="s">
        <v>91</v>
      </c>
      <c r="Y426">
        <v>0.75</v>
      </c>
      <c r="AA426">
        <v>0</v>
      </c>
      <c r="BF426" s="4">
        <v>14965</v>
      </c>
      <c r="BG426" s="4"/>
      <c r="BH426" s="4">
        <v>104800</v>
      </c>
    </row>
    <row r="427" spans="6:60" hidden="1">
      <c r="F427" s="2" t="s">
        <v>552</v>
      </c>
      <c r="J427" t="s">
        <v>89</v>
      </c>
      <c r="K427" s="2" t="s">
        <v>509</v>
      </c>
      <c r="O427" s="3">
        <f t="shared" si="12"/>
        <v>3.7250000000000001</v>
      </c>
      <c r="P427" s="5"/>
      <c r="Q427">
        <f t="shared" si="13"/>
        <v>0</v>
      </c>
      <c r="R427" s="4">
        <v>3.7250000000000001</v>
      </c>
      <c r="S427">
        <v>1</v>
      </c>
      <c r="V427">
        <v>1</v>
      </c>
      <c r="W427" s="4">
        <v>3.7250000000000001</v>
      </c>
      <c r="X427" t="s">
        <v>91</v>
      </c>
      <c r="Y427">
        <v>0.75</v>
      </c>
      <c r="AA427">
        <v>0</v>
      </c>
      <c r="BF427" s="4">
        <v>10288.59</v>
      </c>
      <c r="BG427" s="4"/>
      <c r="BH427" s="4">
        <v>107310</v>
      </c>
    </row>
    <row r="428" spans="6:60" hidden="1">
      <c r="F428" s="2" t="s">
        <v>553</v>
      </c>
      <c r="J428" t="s">
        <v>89</v>
      </c>
      <c r="K428" s="2" t="s">
        <v>509</v>
      </c>
      <c r="O428" s="3">
        <f t="shared" si="12"/>
        <v>3.7250000000000001</v>
      </c>
      <c r="P428" s="5"/>
      <c r="Q428">
        <f t="shared" si="13"/>
        <v>0</v>
      </c>
      <c r="R428" s="4">
        <v>3.7250000000000001</v>
      </c>
      <c r="S428">
        <v>1</v>
      </c>
      <c r="V428">
        <v>1</v>
      </c>
      <c r="W428" s="4">
        <v>3.7250000000000001</v>
      </c>
      <c r="X428" t="s">
        <v>91</v>
      </c>
      <c r="Y428">
        <v>0.75</v>
      </c>
      <c r="AA428">
        <v>0</v>
      </c>
      <c r="BF428" s="4">
        <v>10288.59</v>
      </c>
      <c r="BG428" s="4"/>
      <c r="BH428" s="4">
        <v>107310</v>
      </c>
    </row>
    <row r="429" spans="6:60" hidden="1">
      <c r="F429" s="2" t="s">
        <v>554</v>
      </c>
      <c r="J429" t="s">
        <v>89</v>
      </c>
      <c r="K429" s="2" t="s">
        <v>509</v>
      </c>
      <c r="O429" s="3">
        <f t="shared" si="12"/>
        <v>9.4059999999999988</v>
      </c>
      <c r="P429" s="4">
        <v>1.48</v>
      </c>
      <c r="Q429">
        <f t="shared" si="13"/>
        <v>0.29599999999999999</v>
      </c>
      <c r="R429" s="4">
        <v>9.11</v>
      </c>
      <c r="S429">
        <v>1</v>
      </c>
      <c r="V429">
        <v>1</v>
      </c>
      <c r="W429" s="4">
        <v>9.11</v>
      </c>
      <c r="X429" t="s">
        <v>91</v>
      </c>
      <c r="Y429">
        <v>0.75</v>
      </c>
      <c r="AA429">
        <v>0</v>
      </c>
      <c r="BF429" s="4">
        <v>9125</v>
      </c>
      <c r="BG429" s="4"/>
      <c r="BH429" s="4">
        <v>63880</v>
      </c>
    </row>
    <row r="430" spans="6:60" hidden="1">
      <c r="F430" s="2" t="s">
        <v>555</v>
      </c>
      <c r="J430" t="s">
        <v>89</v>
      </c>
      <c r="K430" s="2" t="s">
        <v>509</v>
      </c>
      <c r="O430" s="3">
        <f t="shared" si="12"/>
        <v>12.702</v>
      </c>
      <c r="P430" s="4">
        <v>2.31</v>
      </c>
      <c r="Q430">
        <f t="shared" si="13"/>
        <v>0.46200000000000002</v>
      </c>
      <c r="R430" s="4">
        <v>12.24</v>
      </c>
      <c r="S430">
        <v>1</v>
      </c>
      <c r="V430">
        <v>1</v>
      </c>
      <c r="W430" s="4">
        <v>12.24</v>
      </c>
      <c r="X430" t="s">
        <v>91</v>
      </c>
      <c r="Y430">
        <v>0.75</v>
      </c>
      <c r="AA430">
        <v>0</v>
      </c>
      <c r="BF430" s="4">
        <v>10220</v>
      </c>
      <c r="BG430" s="4"/>
      <c r="BH430" s="4">
        <v>71550</v>
      </c>
    </row>
    <row r="431" spans="6:60" hidden="1">
      <c r="F431" s="2" t="s">
        <v>556</v>
      </c>
      <c r="J431" t="s">
        <v>89</v>
      </c>
      <c r="K431" s="2" t="s">
        <v>557</v>
      </c>
      <c r="O431" s="5">
        <f t="shared" si="12"/>
        <v>3.496</v>
      </c>
      <c r="P431" s="4">
        <v>0.78</v>
      </c>
      <c r="Q431">
        <f t="shared" si="13"/>
        <v>0.156</v>
      </c>
      <c r="R431" s="4">
        <v>3.34</v>
      </c>
      <c r="S431">
        <v>1</v>
      </c>
      <c r="V431">
        <v>1</v>
      </c>
      <c r="W431" s="4">
        <v>3.34</v>
      </c>
      <c r="X431" t="s">
        <v>91</v>
      </c>
      <c r="Y431">
        <v>0.75</v>
      </c>
      <c r="AA431">
        <v>0</v>
      </c>
      <c r="BF431" s="4">
        <v>1934.5</v>
      </c>
      <c r="BG431" s="4"/>
      <c r="BH431" s="4">
        <v>13542</v>
      </c>
    </row>
    <row r="432" spans="6:60" hidden="1">
      <c r="F432" s="2" t="s">
        <v>558</v>
      </c>
      <c r="J432" t="s">
        <v>89</v>
      </c>
      <c r="K432" s="2" t="s">
        <v>557</v>
      </c>
      <c r="O432" s="5">
        <f t="shared" si="12"/>
        <v>3.496</v>
      </c>
      <c r="P432" s="4">
        <v>0.78</v>
      </c>
      <c r="Q432">
        <f t="shared" si="13"/>
        <v>0.156</v>
      </c>
      <c r="R432" s="4">
        <v>3.34</v>
      </c>
      <c r="S432">
        <v>1</v>
      </c>
      <c r="V432">
        <v>1</v>
      </c>
      <c r="W432" s="4">
        <v>3.34</v>
      </c>
      <c r="X432" t="s">
        <v>91</v>
      </c>
      <c r="Y432">
        <v>0.75</v>
      </c>
      <c r="AA432">
        <v>0</v>
      </c>
      <c r="BF432" s="4">
        <v>967.25</v>
      </c>
      <c r="BG432" s="4"/>
      <c r="BH432" s="4">
        <v>6771</v>
      </c>
    </row>
    <row r="433" spans="6:60" hidden="1">
      <c r="F433" s="2" t="s">
        <v>559</v>
      </c>
      <c r="J433" t="s">
        <v>89</v>
      </c>
      <c r="K433" s="2" t="s">
        <v>557</v>
      </c>
      <c r="O433" s="5">
        <f t="shared" si="12"/>
        <v>4.51</v>
      </c>
      <c r="P433" s="4">
        <v>0.52</v>
      </c>
      <c r="Q433">
        <f t="shared" si="13"/>
        <v>0.10400000000000001</v>
      </c>
      <c r="R433" s="4">
        <v>4.4059999999999997</v>
      </c>
      <c r="S433">
        <v>1</v>
      </c>
      <c r="V433">
        <v>1</v>
      </c>
      <c r="W433" s="4">
        <v>4.4059999999999997</v>
      </c>
      <c r="X433" t="s">
        <v>91</v>
      </c>
      <c r="Y433">
        <v>0.75</v>
      </c>
      <c r="AA433">
        <v>0</v>
      </c>
      <c r="BF433" s="4">
        <v>3228.06</v>
      </c>
      <c r="BG433" s="4"/>
      <c r="BH433" s="4">
        <v>22596.42</v>
      </c>
    </row>
    <row r="434" spans="6:60" hidden="1">
      <c r="F434" s="2" t="s">
        <v>560</v>
      </c>
      <c r="J434" t="s">
        <v>89</v>
      </c>
      <c r="K434" s="2" t="s">
        <v>557</v>
      </c>
      <c r="O434" s="5">
        <f t="shared" si="12"/>
        <v>0</v>
      </c>
      <c r="P434" s="5"/>
      <c r="Q434">
        <f t="shared" si="13"/>
        <v>0</v>
      </c>
      <c r="R434" s="5"/>
      <c r="S434">
        <v>1</v>
      </c>
      <c r="V434">
        <v>1</v>
      </c>
      <c r="W434" s="5"/>
      <c r="X434" t="s">
        <v>91</v>
      </c>
      <c r="Y434">
        <v>0.75</v>
      </c>
      <c r="AA434">
        <v>0</v>
      </c>
      <c r="BF434" s="4">
        <v>1630</v>
      </c>
      <c r="BG434" s="4"/>
      <c r="BH434" s="4">
        <v>11410</v>
      </c>
    </row>
    <row r="435" spans="6:60" hidden="1">
      <c r="F435" s="2" t="s">
        <v>561</v>
      </c>
      <c r="J435" t="s">
        <v>89</v>
      </c>
      <c r="K435" s="2" t="s">
        <v>557</v>
      </c>
      <c r="O435" s="5">
        <f t="shared" si="12"/>
        <v>6.8239999999999998</v>
      </c>
      <c r="P435" s="4">
        <v>0.56999999999999995</v>
      </c>
      <c r="Q435">
        <f t="shared" si="13"/>
        <v>0.11399999999999999</v>
      </c>
      <c r="R435" s="4">
        <v>6.71</v>
      </c>
      <c r="S435">
        <v>1</v>
      </c>
      <c r="V435">
        <v>1</v>
      </c>
      <c r="W435" s="4">
        <v>6.71</v>
      </c>
      <c r="X435" t="s">
        <v>91</v>
      </c>
      <c r="Y435">
        <v>0.75</v>
      </c>
      <c r="AA435">
        <v>0</v>
      </c>
      <c r="BF435" s="4">
        <v>3985</v>
      </c>
      <c r="BG435" s="4"/>
      <c r="BH435" s="4">
        <v>27900</v>
      </c>
    </row>
    <row r="436" spans="6:60" hidden="1">
      <c r="F436" s="2" t="s">
        <v>562</v>
      </c>
      <c r="J436" t="s">
        <v>89</v>
      </c>
      <c r="K436" s="2" t="s">
        <v>557</v>
      </c>
      <c r="O436" s="5">
        <f t="shared" si="12"/>
        <v>8.8620000000000001</v>
      </c>
      <c r="P436" s="4">
        <v>0.46</v>
      </c>
      <c r="Q436">
        <f t="shared" si="13"/>
        <v>9.1999999999999998E-2</v>
      </c>
      <c r="R436" s="4">
        <v>8.77</v>
      </c>
      <c r="S436">
        <v>1</v>
      </c>
      <c r="V436">
        <v>1</v>
      </c>
      <c r="W436" s="4">
        <v>8.77</v>
      </c>
      <c r="X436" t="s">
        <v>91</v>
      </c>
      <c r="Y436">
        <v>0.75</v>
      </c>
      <c r="AA436">
        <v>0</v>
      </c>
      <c r="BF436" s="4">
        <v>3901.09</v>
      </c>
      <c r="BG436" s="4"/>
      <c r="BH436" s="4">
        <v>27307.599999999999</v>
      </c>
    </row>
    <row r="437" spans="6:60" hidden="1">
      <c r="F437" s="2" t="s">
        <v>563</v>
      </c>
      <c r="J437" t="s">
        <v>89</v>
      </c>
      <c r="K437" s="2" t="s">
        <v>557</v>
      </c>
      <c r="O437" s="5">
        <f t="shared" si="12"/>
        <v>10.532</v>
      </c>
      <c r="P437" s="4">
        <v>0.26</v>
      </c>
      <c r="Q437">
        <f t="shared" si="13"/>
        <v>5.2000000000000005E-2</v>
      </c>
      <c r="R437" s="4">
        <v>10.48</v>
      </c>
      <c r="S437">
        <v>1</v>
      </c>
      <c r="V437">
        <v>1</v>
      </c>
      <c r="W437" s="4">
        <v>10.48</v>
      </c>
      <c r="X437" t="s">
        <v>91</v>
      </c>
      <c r="Y437">
        <v>0.75</v>
      </c>
      <c r="AA437">
        <v>0</v>
      </c>
      <c r="BF437" s="4">
        <v>4600.54</v>
      </c>
      <c r="BG437" s="4"/>
      <c r="BH437" s="4">
        <v>32203.81</v>
      </c>
    </row>
    <row r="438" spans="6:60" hidden="1">
      <c r="F438" s="2" t="s">
        <v>564</v>
      </c>
      <c r="J438" t="s">
        <v>89</v>
      </c>
      <c r="K438" s="2" t="s">
        <v>557</v>
      </c>
      <c r="O438" s="5">
        <f t="shared" si="12"/>
        <v>4.9980000000000002</v>
      </c>
      <c r="P438" s="4">
        <v>0.49</v>
      </c>
      <c r="Q438">
        <f t="shared" si="13"/>
        <v>9.8000000000000004E-2</v>
      </c>
      <c r="R438" s="4">
        <v>4.9000000000000004</v>
      </c>
      <c r="S438">
        <v>1</v>
      </c>
      <c r="V438">
        <v>1</v>
      </c>
      <c r="W438" s="4">
        <v>4.9000000000000004</v>
      </c>
      <c r="X438" t="s">
        <v>91</v>
      </c>
      <c r="Y438">
        <v>0.75</v>
      </c>
      <c r="AA438">
        <v>0</v>
      </c>
      <c r="BF438" s="4">
        <v>3000.68</v>
      </c>
      <c r="BG438" s="4"/>
      <c r="BH438" s="4">
        <v>21004.75</v>
      </c>
    </row>
    <row r="439" spans="6:60" hidden="1">
      <c r="F439" s="2" t="s">
        <v>565</v>
      </c>
      <c r="J439" t="s">
        <v>89</v>
      </c>
      <c r="K439" s="2" t="s">
        <v>557</v>
      </c>
      <c r="O439" s="5">
        <f t="shared" si="12"/>
        <v>7.0259999999999998</v>
      </c>
      <c r="P439" s="4">
        <v>0.28000000000000003</v>
      </c>
      <c r="Q439">
        <f t="shared" si="13"/>
        <v>5.6000000000000008E-2</v>
      </c>
      <c r="R439" s="4">
        <v>6.97</v>
      </c>
      <c r="S439">
        <v>1</v>
      </c>
      <c r="V439">
        <v>1</v>
      </c>
      <c r="W439" s="4">
        <v>6.97</v>
      </c>
      <c r="X439" t="s">
        <v>91</v>
      </c>
      <c r="Y439">
        <v>0.75</v>
      </c>
      <c r="AA439">
        <v>0</v>
      </c>
      <c r="BF439" s="4">
        <v>4402</v>
      </c>
      <c r="BG439" s="4"/>
      <c r="BH439" s="4">
        <v>30800</v>
      </c>
    </row>
    <row r="440" spans="6:60" hidden="1">
      <c r="F440" s="2" t="s">
        <v>566</v>
      </c>
      <c r="J440" t="s">
        <v>89</v>
      </c>
      <c r="K440" s="2" t="s">
        <v>557</v>
      </c>
      <c r="O440" s="5">
        <f t="shared" si="12"/>
        <v>9.8620000000000001</v>
      </c>
      <c r="P440" s="4">
        <v>1.26</v>
      </c>
      <c r="Q440">
        <f t="shared" si="13"/>
        <v>0.252</v>
      </c>
      <c r="R440" s="4">
        <v>9.61</v>
      </c>
      <c r="S440">
        <v>1</v>
      </c>
      <c r="V440">
        <v>1</v>
      </c>
      <c r="W440" s="4">
        <v>9.61</v>
      </c>
      <c r="X440" t="s">
        <v>91</v>
      </c>
      <c r="Y440">
        <v>0.75</v>
      </c>
      <c r="AA440">
        <v>0</v>
      </c>
      <c r="BF440" s="4">
        <v>6153</v>
      </c>
      <c r="BG440" s="4"/>
      <c r="BH440" s="4">
        <v>43000</v>
      </c>
    </row>
    <row r="441" spans="6:60" hidden="1">
      <c r="F441" s="2" t="s">
        <v>567</v>
      </c>
      <c r="J441" t="s">
        <v>89</v>
      </c>
      <c r="K441" s="2" t="s">
        <v>557</v>
      </c>
      <c r="O441" s="5">
        <f t="shared" si="12"/>
        <v>4.4119999999999999</v>
      </c>
      <c r="P441" s="4">
        <v>0.18</v>
      </c>
      <c r="Q441">
        <f t="shared" si="13"/>
        <v>3.5999999999999997E-2</v>
      </c>
      <c r="R441" s="4">
        <v>4.3760000000000003</v>
      </c>
      <c r="S441">
        <v>1</v>
      </c>
      <c r="V441">
        <v>1</v>
      </c>
      <c r="W441" s="4">
        <v>4.3760000000000003</v>
      </c>
      <c r="X441" t="s">
        <v>91</v>
      </c>
      <c r="Y441">
        <v>0.75</v>
      </c>
      <c r="AA441">
        <v>0</v>
      </c>
      <c r="BF441" s="4">
        <v>2454.29</v>
      </c>
      <c r="BG441" s="4"/>
      <c r="BH441" s="4">
        <v>17180.03</v>
      </c>
    </row>
    <row r="442" spans="6:60" hidden="1">
      <c r="F442" s="2" t="s">
        <v>568</v>
      </c>
      <c r="J442" t="s">
        <v>89</v>
      </c>
      <c r="K442" s="2" t="s">
        <v>557</v>
      </c>
      <c r="O442" s="5">
        <f t="shared" si="12"/>
        <v>4.718</v>
      </c>
      <c r="P442" s="4">
        <v>1.69</v>
      </c>
      <c r="Q442">
        <f t="shared" si="13"/>
        <v>0.33799999999999997</v>
      </c>
      <c r="R442" s="4">
        <v>4.38</v>
      </c>
      <c r="S442">
        <v>1</v>
      </c>
      <c r="V442">
        <v>1</v>
      </c>
      <c r="W442" s="4">
        <v>4.38</v>
      </c>
      <c r="X442" t="s">
        <v>91</v>
      </c>
      <c r="Y442">
        <v>0.75</v>
      </c>
      <c r="AA442">
        <v>0</v>
      </c>
      <c r="BF442" s="4">
        <v>5840</v>
      </c>
      <c r="BG442" s="4"/>
      <c r="BH442" s="4">
        <v>40880</v>
      </c>
    </row>
    <row r="443" spans="6:60" hidden="1">
      <c r="F443" s="2" t="s">
        <v>569</v>
      </c>
      <c r="J443" t="s">
        <v>89</v>
      </c>
      <c r="K443" s="2" t="s">
        <v>557</v>
      </c>
      <c r="O443" s="5">
        <f t="shared" si="12"/>
        <v>3.1880000000000002</v>
      </c>
      <c r="P443" s="4">
        <v>0.44</v>
      </c>
      <c r="Q443">
        <f t="shared" si="13"/>
        <v>8.7999999999999995E-2</v>
      </c>
      <c r="R443" s="4">
        <v>3.1</v>
      </c>
      <c r="S443">
        <v>1</v>
      </c>
      <c r="V443">
        <v>1</v>
      </c>
      <c r="W443" s="4">
        <v>3.1</v>
      </c>
      <c r="X443" t="s">
        <v>91</v>
      </c>
      <c r="Y443">
        <v>0.75</v>
      </c>
      <c r="AA443">
        <v>0</v>
      </c>
      <c r="BF443" s="4">
        <v>3832.5</v>
      </c>
      <c r="BG443" s="4"/>
      <c r="BH443" s="4">
        <v>26830</v>
      </c>
    </row>
    <row r="444" spans="6:60" hidden="1">
      <c r="F444" s="2" t="s">
        <v>570</v>
      </c>
      <c r="J444" t="s">
        <v>89</v>
      </c>
      <c r="K444" s="2" t="s">
        <v>557</v>
      </c>
      <c r="O444" s="5">
        <f t="shared" si="12"/>
        <v>7.5220000000000002</v>
      </c>
      <c r="P444" s="4">
        <v>0.76</v>
      </c>
      <c r="Q444">
        <f t="shared" si="13"/>
        <v>0.152</v>
      </c>
      <c r="R444" s="4">
        <v>7.37</v>
      </c>
      <c r="S444">
        <v>1</v>
      </c>
      <c r="V444">
        <v>1</v>
      </c>
      <c r="W444" s="4">
        <v>7.37</v>
      </c>
      <c r="X444" t="s">
        <v>91</v>
      </c>
      <c r="Y444">
        <v>0.75</v>
      </c>
      <c r="AA444">
        <v>0</v>
      </c>
      <c r="BF444" s="4">
        <v>7528.13</v>
      </c>
      <c r="BG444" s="4"/>
      <c r="BH444" s="4">
        <v>52700</v>
      </c>
    </row>
    <row r="445" spans="6:60" hidden="1">
      <c r="F445" s="2" t="s">
        <v>571</v>
      </c>
      <c r="J445" t="s">
        <v>89</v>
      </c>
      <c r="K445" s="2" t="s">
        <v>557</v>
      </c>
      <c r="O445" s="5">
        <f t="shared" si="12"/>
        <v>6.5459999999999994</v>
      </c>
      <c r="P445" s="4">
        <v>0.13</v>
      </c>
      <c r="Q445">
        <f t="shared" si="13"/>
        <v>2.6000000000000002E-2</v>
      </c>
      <c r="R445" s="4">
        <v>6.52</v>
      </c>
      <c r="S445">
        <v>1</v>
      </c>
      <c r="V445">
        <v>1</v>
      </c>
      <c r="W445" s="4">
        <v>6.52</v>
      </c>
      <c r="X445" t="s">
        <v>91</v>
      </c>
      <c r="Y445">
        <v>0.75</v>
      </c>
      <c r="AA445">
        <v>0</v>
      </c>
      <c r="BF445" s="4">
        <v>4735</v>
      </c>
      <c r="BG445" s="4"/>
      <c r="BH445" s="4">
        <v>33145</v>
      </c>
    </row>
    <row r="446" spans="6:60" hidden="1">
      <c r="F446" s="2" t="s">
        <v>572</v>
      </c>
      <c r="J446" t="s">
        <v>89</v>
      </c>
      <c r="K446" s="2" t="s">
        <v>557</v>
      </c>
      <c r="O446" s="5">
        <f t="shared" si="12"/>
        <v>3.7359999999999998</v>
      </c>
      <c r="P446" s="4">
        <v>0.43</v>
      </c>
      <c r="Q446">
        <f t="shared" si="13"/>
        <v>8.5999999999999993E-2</v>
      </c>
      <c r="R446" s="4">
        <v>3.65</v>
      </c>
      <c r="S446">
        <v>1</v>
      </c>
      <c r="V446">
        <v>1</v>
      </c>
      <c r="W446" s="4">
        <v>3.65</v>
      </c>
      <c r="X446" t="s">
        <v>91</v>
      </c>
      <c r="Y446">
        <v>0.75</v>
      </c>
      <c r="AA446">
        <v>0</v>
      </c>
      <c r="BF446" s="4">
        <v>3139</v>
      </c>
      <c r="BG446" s="4"/>
      <c r="BH446" s="4">
        <v>21973</v>
      </c>
    </row>
    <row r="447" spans="6:60" hidden="1">
      <c r="F447" s="2" t="s">
        <v>573</v>
      </c>
      <c r="J447" t="s">
        <v>89</v>
      </c>
      <c r="K447" s="2" t="s">
        <v>557</v>
      </c>
      <c r="O447" s="5">
        <f t="shared" si="12"/>
        <v>3.3477999999999999</v>
      </c>
      <c r="P447" s="4">
        <v>0.88900000000000001</v>
      </c>
      <c r="Q447">
        <f t="shared" si="13"/>
        <v>0.17780000000000001</v>
      </c>
      <c r="R447" s="4">
        <v>3.17</v>
      </c>
      <c r="S447">
        <v>1</v>
      </c>
      <c r="V447">
        <v>1</v>
      </c>
      <c r="W447" s="4">
        <v>3.17</v>
      </c>
      <c r="X447" t="s">
        <v>91</v>
      </c>
      <c r="Y447">
        <v>0.75</v>
      </c>
      <c r="AA447">
        <v>0</v>
      </c>
      <c r="BF447" s="4">
        <v>3737.6</v>
      </c>
      <c r="BG447" s="4"/>
      <c r="BH447" s="4">
        <v>26165</v>
      </c>
    </row>
    <row r="448" spans="6:60" hidden="1">
      <c r="F448" s="2" t="s">
        <v>574</v>
      </c>
      <c r="J448" t="s">
        <v>89</v>
      </c>
      <c r="K448" s="2" t="s">
        <v>557</v>
      </c>
      <c r="O448" s="5">
        <f t="shared" si="12"/>
        <v>5.1059999999999999</v>
      </c>
      <c r="P448" s="4">
        <v>0.43</v>
      </c>
      <c r="Q448">
        <f t="shared" si="13"/>
        <v>8.5999999999999993E-2</v>
      </c>
      <c r="R448" s="4">
        <v>5.0199999999999996</v>
      </c>
      <c r="S448">
        <v>1</v>
      </c>
      <c r="V448">
        <v>1</v>
      </c>
      <c r="W448" s="4">
        <v>5.0199999999999996</v>
      </c>
      <c r="X448" t="s">
        <v>91</v>
      </c>
      <c r="Y448">
        <v>0.75</v>
      </c>
      <c r="AA448">
        <v>0</v>
      </c>
      <c r="BF448" s="4">
        <v>3704.75</v>
      </c>
      <c r="BG448" s="4"/>
      <c r="BH448" s="4">
        <v>25935</v>
      </c>
    </row>
    <row r="449" spans="6:60" hidden="1">
      <c r="F449" s="2" t="s">
        <v>575</v>
      </c>
      <c r="J449" t="s">
        <v>89</v>
      </c>
      <c r="K449" s="2" t="s">
        <v>557</v>
      </c>
      <c r="O449" s="5">
        <f t="shared" si="12"/>
        <v>3.66</v>
      </c>
      <c r="P449" s="4">
        <v>0.2</v>
      </c>
      <c r="Q449">
        <f t="shared" si="13"/>
        <v>0.04</v>
      </c>
      <c r="R449" s="4">
        <v>3.62</v>
      </c>
      <c r="S449">
        <v>1</v>
      </c>
      <c r="V449">
        <v>1</v>
      </c>
      <c r="W449" s="4">
        <v>3.62</v>
      </c>
      <c r="X449" t="s">
        <v>91</v>
      </c>
      <c r="Y449">
        <v>0.75</v>
      </c>
      <c r="AA449">
        <v>0</v>
      </c>
      <c r="BF449" s="4">
        <v>2777.65</v>
      </c>
      <c r="BG449" s="4"/>
      <c r="BH449" s="4">
        <v>19445</v>
      </c>
    </row>
    <row r="450" spans="6:60" hidden="1">
      <c r="F450" s="2" t="s">
        <v>576</v>
      </c>
      <c r="J450" t="s">
        <v>89</v>
      </c>
      <c r="K450" s="2" t="s">
        <v>557</v>
      </c>
      <c r="O450" s="5">
        <f t="shared" si="12"/>
        <v>6.774</v>
      </c>
      <c r="P450" s="4">
        <v>0.52</v>
      </c>
      <c r="Q450">
        <f t="shared" si="13"/>
        <v>0.10400000000000001</v>
      </c>
      <c r="R450" s="4">
        <v>6.67</v>
      </c>
      <c r="S450">
        <v>1</v>
      </c>
      <c r="V450">
        <v>1</v>
      </c>
      <c r="W450" s="4">
        <v>6.67</v>
      </c>
      <c r="X450" t="s">
        <v>91</v>
      </c>
      <c r="Y450">
        <v>0.75</v>
      </c>
      <c r="AA450">
        <v>0</v>
      </c>
      <c r="BF450" s="4">
        <v>3928.29</v>
      </c>
      <c r="BG450" s="4"/>
      <c r="BH450" s="4">
        <v>27498.06</v>
      </c>
    </row>
    <row r="451" spans="6:60" hidden="1">
      <c r="F451" s="2" t="s">
        <v>577</v>
      </c>
      <c r="J451" t="s">
        <v>89</v>
      </c>
      <c r="K451" s="2" t="s">
        <v>557</v>
      </c>
      <c r="O451" s="5">
        <f t="shared" ref="O451:O514" si="14">Q451+R451</f>
        <v>1.7396</v>
      </c>
      <c r="P451" s="4">
        <v>0.17299999999999999</v>
      </c>
      <c r="Q451">
        <f t="shared" ref="Q451:Q514" si="15">P451/5</f>
        <v>3.4599999999999999E-2</v>
      </c>
      <c r="R451" s="4">
        <v>1.7050000000000001</v>
      </c>
      <c r="S451">
        <v>1</v>
      </c>
      <c r="V451">
        <v>1</v>
      </c>
      <c r="W451" s="4">
        <v>1.7050000000000001</v>
      </c>
      <c r="X451" t="s">
        <v>91</v>
      </c>
      <c r="Y451">
        <v>0.75</v>
      </c>
      <c r="AA451">
        <v>0</v>
      </c>
      <c r="BF451" s="4">
        <v>1146.28</v>
      </c>
      <c r="BG451" s="4"/>
      <c r="BH451" s="4">
        <v>8023.96</v>
      </c>
    </row>
    <row r="452" spans="6:60" hidden="1">
      <c r="F452" s="2" t="s">
        <v>578</v>
      </c>
      <c r="J452" t="s">
        <v>89</v>
      </c>
      <c r="K452" s="2" t="s">
        <v>557</v>
      </c>
      <c r="O452" s="5">
        <f t="shared" si="14"/>
        <v>2.2635999999999998</v>
      </c>
      <c r="P452" s="4">
        <v>0.66800000000000004</v>
      </c>
      <c r="Q452">
        <f t="shared" si="15"/>
        <v>0.1336</v>
      </c>
      <c r="R452" s="4">
        <v>2.13</v>
      </c>
      <c r="S452">
        <v>1</v>
      </c>
      <c r="V452">
        <v>1</v>
      </c>
      <c r="W452" s="4">
        <v>2.13</v>
      </c>
      <c r="X452" t="s">
        <v>91</v>
      </c>
      <c r="Y452">
        <v>0.75</v>
      </c>
      <c r="AA452">
        <v>0</v>
      </c>
      <c r="BF452" s="4">
        <v>1879.75</v>
      </c>
      <c r="BG452" s="4"/>
      <c r="BH452" s="4">
        <v>13160</v>
      </c>
    </row>
    <row r="453" spans="6:60" hidden="1">
      <c r="F453" s="2" t="s">
        <v>579</v>
      </c>
      <c r="J453" t="s">
        <v>89</v>
      </c>
      <c r="K453" s="2" t="s">
        <v>557</v>
      </c>
      <c r="O453" s="5">
        <f t="shared" si="14"/>
        <v>3.2597999999999998</v>
      </c>
      <c r="P453" s="4">
        <v>0.224</v>
      </c>
      <c r="Q453">
        <f t="shared" si="15"/>
        <v>4.48E-2</v>
      </c>
      <c r="R453" s="4">
        <v>3.2149999999999999</v>
      </c>
      <c r="S453">
        <v>1</v>
      </c>
      <c r="V453">
        <v>1</v>
      </c>
      <c r="W453" s="4">
        <v>3.2149999999999999</v>
      </c>
      <c r="X453" t="s">
        <v>91</v>
      </c>
      <c r="Y453">
        <v>0.75</v>
      </c>
      <c r="AA453">
        <v>0</v>
      </c>
      <c r="BF453" s="4">
        <v>1923.18</v>
      </c>
      <c r="BG453" s="4"/>
      <c r="BH453" s="4">
        <v>13465</v>
      </c>
    </row>
    <row r="454" spans="6:60" hidden="1">
      <c r="F454" s="2" t="s">
        <v>580</v>
      </c>
      <c r="J454" t="s">
        <v>89</v>
      </c>
      <c r="K454" s="2" t="s">
        <v>557</v>
      </c>
      <c r="O454" s="5">
        <f t="shared" si="14"/>
        <v>4.7919999999999998</v>
      </c>
      <c r="P454" s="4">
        <v>0.46</v>
      </c>
      <c r="Q454">
        <f t="shared" si="15"/>
        <v>9.1999999999999998E-2</v>
      </c>
      <c r="R454" s="4">
        <v>4.7</v>
      </c>
      <c r="S454">
        <v>1</v>
      </c>
      <c r="V454">
        <v>1</v>
      </c>
      <c r="W454" s="4">
        <v>4.7</v>
      </c>
      <c r="X454" t="s">
        <v>91</v>
      </c>
      <c r="Y454">
        <v>0.75</v>
      </c>
      <c r="AA454">
        <v>0</v>
      </c>
      <c r="BF454" s="4">
        <v>2318.48</v>
      </c>
      <c r="BG454" s="4"/>
      <c r="BH454" s="4">
        <v>16229.37</v>
      </c>
    </row>
    <row r="455" spans="6:60" hidden="1">
      <c r="F455" s="2" t="s">
        <v>581</v>
      </c>
      <c r="J455" t="s">
        <v>89</v>
      </c>
      <c r="K455" s="2" t="s">
        <v>557</v>
      </c>
      <c r="O455" s="5">
        <f t="shared" si="14"/>
        <v>5.8479999999999999</v>
      </c>
      <c r="P455" s="4">
        <v>0.74</v>
      </c>
      <c r="Q455">
        <f t="shared" si="15"/>
        <v>0.14799999999999999</v>
      </c>
      <c r="R455" s="4">
        <v>5.7</v>
      </c>
      <c r="S455">
        <v>1</v>
      </c>
      <c r="V455">
        <v>1</v>
      </c>
      <c r="W455" s="4">
        <v>5.7</v>
      </c>
      <c r="X455" t="s">
        <v>91</v>
      </c>
      <c r="Y455">
        <v>0.75</v>
      </c>
      <c r="AA455">
        <v>0</v>
      </c>
      <c r="BF455" s="4">
        <v>2269.5500000000002</v>
      </c>
      <c r="BG455" s="4"/>
      <c r="BH455" s="4">
        <v>15886.82</v>
      </c>
    </row>
    <row r="456" spans="6:60" hidden="1">
      <c r="F456" s="2" t="s">
        <v>582</v>
      </c>
      <c r="J456" t="s">
        <v>89</v>
      </c>
      <c r="K456" s="2" t="s">
        <v>557</v>
      </c>
      <c r="O456" s="5">
        <f t="shared" si="14"/>
        <v>1.3220000000000001</v>
      </c>
      <c r="P456" s="4">
        <v>0.36</v>
      </c>
      <c r="Q456">
        <f t="shared" si="15"/>
        <v>7.1999999999999995E-2</v>
      </c>
      <c r="R456" s="4">
        <v>1.25</v>
      </c>
      <c r="S456">
        <v>1</v>
      </c>
      <c r="V456">
        <v>1</v>
      </c>
      <c r="W456" s="4">
        <v>1.25</v>
      </c>
      <c r="X456" t="s">
        <v>91</v>
      </c>
      <c r="Y456">
        <v>0.75</v>
      </c>
      <c r="AA456">
        <v>0</v>
      </c>
      <c r="BF456" s="4">
        <v>667.44</v>
      </c>
      <c r="BG456" s="4"/>
      <c r="BH456" s="4">
        <v>4672.0600000000004</v>
      </c>
    </row>
    <row r="457" spans="6:60" hidden="1">
      <c r="F457" s="2" t="s">
        <v>583</v>
      </c>
      <c r="J457" t="s">
        <v>89</v>
      </c>
      <c r="K457" s="2" t="s">
        <v>557</v>
      </c>
      <c r="O457" s="5">
        <f t="shared" si="14"/>
        <v>3.8380000000000001</v>
      </c>
      <c r="P457" s="4">
        <v>0.54</v>
      </c>
      <c r="Q457">
        <f t="shared" si="15"/>
        <v>0.10800000000000001</v>
      </c>
      <c r="R457" s="4">
        <v>3.73</v>
      </c>
      <c r="S457">
        <v>1</v>
      </c>
      <c r="V457">
        <v>1</v>
      </c>
      <c r="W457" s="4">
        <v>3.73</v>
      </c>
      <c r="X457" t="s">
        <v>91</v>
      </c>
      <c r="Y457">
        <v>0.75</v>
      </c>
      <c r="AA457">
        <v>0</v>
      </c>
      <c r="BF457" s="4">
        <v>1640.19</v>
      </c>
      <c r="BG457" s="4"/>
      <c r="BH457" s="4">
        <v>11481.34</v>
      </c>
    </row>
    <row r="458" spans="6:60" hidden="1">
      <c r="F458" s="2" t="s">
        <v>584</v>
      </c>
      <c r="J458" t="s">
        <v>89</v>
      </c>
      <c r="K458" s="2" t="s">
        <v>557</v>
      </c>
      <c r="O458" s="5">
        <f t="shared" si="14"/>
        <v>3.9319999999999999</v>
      </c>
      <c r="P458" s="4">
        <v>0.46</v>
      </c>
      <c r="Q458">
        <f t="shared" si="15"/>
        <v>9.1999999999999998E-2</v>
      </c>
      <c r="R458" s="4">
        <v>3.84</v>
      </c>
      <c r="S458">
        <v>1</v>
      </c>
      <c r="V458">
        <v>1</v>
      </c>
      <c r="W458" s="4">
        <v>3.84</v>
      </c>
      <c r="X458" t="s">
        <v>91</v>
      </c>
      <c r="Y458">
        <v>0.75</v>
      </c>
      <c r="AA458">
        <v>0</v>
      </c>
      <c r="BF458" s="4">
        <v>2181.3000000000002</v>
      </c>
      <c r="BG458" s="4"/>
      <c r="BH458" s="4">
        <v>15269.13</v>
      </c>
    </row>
    <row r="459" spans="6:60" hidden="1">
      <c r="F459" s="2" t="s">
        <v>585</v>
      </c>
      <c r="J459" t="s">
        <v>89</v>
      </c>
      <c r="K459" s="2" t="s">
        <v>557</v>
      </c>
      <c r="O459" s="5">
        <f t="shared" si="14"/>
        <v>4.3019999999999996</v>
      </c>
      <c r="P459" s="4">
        <v>0.81</v>
      </c>
      <c r="Q459">
        <f t="shared" si="15"/>
        <v>0.16200000000000001</v>
      </c>
      <c r="R459" s="4">
        <v>4.1399999999999997</v>
      </c>
      <c r="S459">
        <v>1</v>
      </c>
      <c r="V459">
        <v>1</v>
      </c>
      <c r="W459" s="4">
        <v>4.1399999999999997</v>
      </c>
      <c r="X459" t="s">
        <v>91</v>
      </c>
      <c r="Y459">
        <v>0.75</v>
      </c>
      <c r="AA459">
        <v>0</v>
      </c>
      <c r="BF459" s="4">
        <v>2802.23</v>
      </c>
      <c r="BG459" s="4"/>
      <c r="BH459" s="4">
        <v>19615.64</v>
      </c>
    </row>
    <row r="460" spans="6:60" hidden="1">
      <c r="F460" s="2" t="s">
        <v>586</v>
      </c>
      <c r="J460" t="s">
        <v>89</v>
      </c>
      <c r="K460" s="2" t="s">
        <v>557</v>
      </c>
      <c r="O460" s="5">
        <f t="shared" si="14"/>
        <v>3.2159999999999997</v>
      </c>
      <c r="P460" s="4">
        <v>0.93</v>
      </c>
      <c r="Q460">
        <f t="shared" si="15"/>
        <v>0.186</v>
      </c>
      <c r="R460" s="4">
        <v>3.03</v>
      </c>
      <c r="S460">
        <v>1</v>
      </c>
      <c r="V460">
        <v>1</v>
      </c>
      <c r="W460" s="4">
        <v>3.03</v>
      </c>
      <c r="X460" t="s">
        <v>91</v>
      </c>
      <c r="Y460">
        <v>0.75</v>
      </c>
      <c r="AA460">
        <v>0</v>
      </c>
      <c r="BF460" s="4">
        <v>1857.6</v>
      </c>
      <c r="BG460" s="4"/>
      <c r="BH460" s="4">
        <v>13003.23</v>
      </c>
    </row>
    <row r="461" spans="6:60" hidden="1">
      <c r="F461" s="2" t="s">
        <v>587</v>
      </c>
      <c r="J461" t="s">
        <v>89</v>
      </c>
      <c r="K461" s="2" t="s">
        <v>557</v>
      </c>
      <c r="O461" s="5">
        <f t="shared" si="14"/>
        <v>2.2879999999999998</v>
      </c>
      <c r="P461" s="4">
        <v>0.39</v>
      </c>
      <c r="Q461">
        <f t="shared" si="15"/>
        <v>7.8E-2</v>
      </c>
      <c r="R461" s="4">
        <v>2.21</v>
      </c>
      <c r="S461">
        <v>1</v>
      </c>
      <c r="V461">
        <v>1</v>
      </c>
      <c r="W461" s="4">
        <v>2.21</v>
      </c>
      <c r="X461" t="s">
        <v>91</v>
      </c>
      <c r="Y461">
        <v>0.75</v>
      </c>
      <c r="AA461">
        <v>0</v>
      </c>
      <c r="BF461" s="4">
        <v>1049.6500000000001</v>
      </c>
      <c r="BG461" s="4"/>
      <c r="BH461" s="4">
        <v>7347.57</v>
      </c>
    </row>
    <row r="462" spans="6:60" hidden="1">
      <c r="F462" s="2" t="s">
        <v>588</v>
      </c>
      <c r="J462" t="s">
        <v>89</v>
      </c>
      <c r="K462" s="2" t="s">
        <v>557</v>
      </c>
      <c r="O462" s="5">
        <f t="shared" si="14"/>
        <v>3.0860000000000003</v>
      </c>
      <c r="P462" s="4">
        <v>0.57999999999999996</v>
      </c>
      <c r="Q462">
        <f t="shared" si="15"/>
        <v>0.11599999999999999</v>
      </c>
      <c r="R462" s="4">
        <v>2.97</v>
      </c>
      <c r="S462">
        <v>1</v>
      </c>
      <c r="V462">
        <v>1</v>
      </c>
      <c r="W462" s="4">
        <v>2.97</v>
      </c>
      <c r="X462" t="s">
        <v>91</v>
      </c>
      <c r="Y462">
        <v>0.75</v>
      </c>
      <c r="AA462">
        <v>0</v>
      </c>
      <c r="BF462" s="4">
        <v>1450.32</v>
      </c>
      <c r="BG462" s="4"/>
      <c r="BH462" s="4">
        <v>10152.209999999999</v>
      </c>
    </row>
    <row r="463" spans="6:60" hidden="1">
      <c r="F463" s="2" t="s">
        <v>589</v>
      </c>
      <c r="J463" t="s">
        <v>89</v>
      </c>
      <c r="K463" s="2" t="s">
        <v>557</v>
      </c>
      <c r="O463" s="5">
        <f t="shared" si="14"/>
        <v>3.6579999999999999</v>
      </c>
      <c r="P463" s="4">
        <v>0.44</v>
      </c>
      <c r="Q463">
        <f t="shared" si="15"/>
        <v>8.7999999999999995E-2</v>
      </c>
      <c r="R463" s="4">
        <v>3.57</v>
      </c>
      <c r="S463">
        <v>1</v>
      </c>
      <c r="V463">
        <v>1</v>
      </c>
      <c r="W463" s="4">
        <v>3.57</v>
      </c>
      <c r="X463" t="s">
        <v>91</v>
      </c>
      <c r="Y463">
        <v>0.75</v>
      </c>
      <c r="AA463">
        <v>0</v>
      </c>
      <c r="BF463" s="4">
        <v>1574.21</v>
      </c>
      <c r="BG463" s="4"/>
      <c r="BH463" s="4">
        <v>11019.45</v>
      </c>
    </row>
    <row r="464" spans="6:60" hidden="1">
      <c r="F464" s="2" t="s">
        <v>590</v>
      </c>
      <c r="J464" t="s">
        <v>89</v>
      </c>
      <c r="K464" s="2" t="s">
        <v>557</v>
      </c>
      <c r="O464" s="5">
        <f t="shared" si="14"/>
        <v>3.4819999999999998</v>
      </c>
      <c r="P464" s="4">
        <v>0.31</v>
      </c>
      <c r="Q464">
        <f t="shared" si="15"/>
        <v>6.2E-2</v>
      </c>
      <c r="R464" s="4">
        <v>3.42</v>
      </c>
      <c r="S464">
        <v>1</v>
      </c>
      <c r="V464">
        <v>1</v>
      </c>
      <c r="W464" s="4">
        <v>3.42</v>
      </c>
      <c r="X464" t="s">
        <v>91</v>
      </c>
      <c r="Y464">
        <v>0.75</v>
      </c>
      <c r="AA464">
        <v>0</v>
      </c>
      <c r="BF464" s="4">
        <v>1329.48</v>
      </c>
      <c r="BG464" s="4"/>
      <c r="BH464" s="4">
        <v>9306.39</v>
      </c>
    </row>
    <row r="465" spans="6:60" hidden="1">
      <c r="F465" s="2" t="s">
        <v>591</v>
      </c>
      <c r="J465" t="s">
        <v>89</v>
      </c>
      <c r="K465" s="2" t="s">
        <v>557</v>
      </c>
      <c r="O465" s="5">
        <f t="shared" si="14"/>
        <v>1.7100000000000002</v>
      </c>
      <c r="P465" s="4">
        <v>0.45</v>
      </c>
      <c r="Q465">
        <f t="shared" si="15"/>
        <v>0.09</v>
      </c>
      <c r="R465" s="4">
        <v>1.62</v>
      </c>
      <c r="S465">
        <v>1</v>
      </c>
      <c r="V465">
        <v>1</v>
      </c>
      <c r="W465" s="4">
        <v>1.62</v>
      </c>
      <c r="X465" t="s">
        <v>91</v>
      </c>
      <c r="Y465">
        <v>0.75</v>
      </c>
      <c r="AA465">
        <v>0</v>
      </c>
      <c r="BF465" s="4">
        <v>1145.53</v>
      </c>
      <c r="BG465" s="4"/>
      <c r="BH465" s="4">
        <v>8018.72</v>
      </c>
    </row>
    <row r="466" spans="6:60" hidden="1">
      <c r="F466" s="2" t="s">
        <v>592</v>
      </c>
      <c r="J466" t="s">
        <v>89</v>
      </c>
      <c r="K466" s="2" t="s">
        <v>557</v>
      </c>
      <c r="O466" s="5">
        <f t="shared" si="14"/>
        <v>6.8000000000000007</v>
      </c>
      <c r="P466" s="4">
        <v>0.75</v>
      </c>
      <c r="Q466">
        <f t="shared" si="15"/>
        <v>0.15</v>
      </c>
      <c r="R466" s="4">
        <v>6.65</v>
      </c>
      <c r="S466">
        <v>1</v>
      </c>
      <c r="V466">
        <v>1</v>
      </c>
      <c r="W466" s="4">
        <v>6.65</v>
      </c>
      <c r="X466" t="s">
        <v>91</v>
      </c>
      <c r="Y466">
        <v>0.75</v>
      </c>
      <c r="AA466">
        <v>0</v>
      </c>
      <c r="BF466" s="4">
        <v>3229.5</v>
      </c>
      <c r="BG466" s="4"/>
      <c r="BH466" s="4">
        <v>22606.48</v>
      </c>
    </row>
    <row r="467" spans="6:60" hidden="1">
      <c r="F467" s="2" t="s">
        <v>593</v>
      </c>
      <c r="J467" t="s">
        <v>89</v>
      </c>
      <c r="K467" s="2" t="s">
        <v>557</v>
      </c>
      <c r="O467" s="3">
        <f t="shared" si="14"/>
        <v>1.782</v>
      </c>
      <c r="P467" s="4">
        <v>0.26</v>
      </c>
      <c r="Q467">
        <f t="shared" si="15"/>
        <v>5.2000000000000005E-2</v>
      </c>
      <c r="R467" s="4">
        <v>1.73</v>
      </c>
      <c r="S467">
        <v>1</v>
      </c>
      <c r="V467">
        <v>1</v>
      </c>
      <c r="W467" s="4">
        <v>1.73</v>
      </c>
      <c r="X467" t="s">
        <v>91</v>
      </c>
      <c r="Y467">
        <v>0.75</v>
      </c>
      <c r="AA467">
        <v>0</v>
      </c>
      <c r="BF467" s="4">
        <v>1052.6600000000001</v>
      </c>
      <c r="BG467" s="4"/>
      <c r="BH467" s="4">
        <v>7368.64</v>
      </c>
    </row>
    <row r="468" spans="6:60" hidden="1">
      <c r="F468" s="2" t="s">
        <v>594</v>
      </c>
      <c r="J468" t="s">
        <v>89</v>
      </c>
      <c r="K468" s="2" t="s">
        <v>447</v>
      </c>
      <c r="O468" s="3">
        <f t="shared" si="14"/>
        <v>5.8380000000000001</v>
      </c>
      <c r="P468" s="4">
        <v>0.54</v>
      </c>
      <c r="Q468">
        <f t="shared" si="15"/>
        <v>0.10800000000000001</v>
      </c>
      <c r="R468" s="4">
        <v>5.73</v>
      </c>
      <c r="S468">
        <v>1</v>
      </c>
      <c r="V468">
        <v>1</v>
      </c>
      <c r="W468" s="4">
        <v>5.73</v>
      </c>
      <c r="X468" t="s">
        <v>91</v>
      </c>
      <c r="Y468">
        <v>0.75</v>
      </c>
      <c r="AA468">
        <v>0</v>
      </c>
      <c r="BF468" s="4">
        <v>3048.06</v>
      </c>
      <c r="BG468" s="4"/>
      <c r="BH468" s="4">
        <v>21336.44</v>
      </c>
    </row>
    <row r="469" spans="6:60" hidden="1">
      <c r="F469" s="2" t="s">
        <v>595</v>
      </c>
      <c r="J469" t="s">
        <v>89</v>
      </c>
      <c r="K469" s="2" t="s">
        <v>447</v>
      </c>
      <c r="O469" s="3">
        <f t="shared" si="14"/>
        <v>2.4740000000000002</v>
      </c>
      <c r="P469" s="4">
        <v>0.2</v>
      </c>
      <c r="Q469">
        <f t="shared" si="15"/>
        <v>0.04</v>
      </c>
      <c r="R469" s="4">
        <v>2.4340000000000002</v>
      </c>
      <c r="S469">
        <v>1</v>
      </c>
      <c r="V469">
        <v>1</v>
      </c>
      <c r="W469" s="4">
        <v>2.4340000000000002</v>
      </c>
      <c r="X469" t="s">
        <v>91</v>
      </c>
      <c r="Y469">
        <v>0.75</v>
      </c>
      <c r="AA469">
        <v>0</v>
      </c>
      <c r="BF469" s="4">
        <v>1070</v>
      </c>
      <c r="BG469" s="4"/>
      <c r="BH469" s="4">
        <v>7490</v>
      </c>
    </row>
    <row r="470" spans="6:60" hidden="1">
      <c r="F470" s="2" t="s">
        <v>596</v>
      </c>
      <c r="J470" t="s">
        <v>89</v>
      </c>
      <c r="K470" s="2" t="s">
        <v>447</v>
      </c>
      <c r="O470" s="3">
        <f t="shared" si="14"/>
        <v>2.774</v>
      </c>
      <c r="P470" s="4">
        <v>0.67</v>
      </c>
      <c r="Q470">
        <f t="shared" si="15"/>
        <v>0.13400000000000001</v>
      </c>
      <c r="R470" s="4">
        <v>2.64</v>
      </c>
      <c r="S470">
        <v>1</v>
      </c>
      <c r="V470">
        <v>1</v>
      </c>
      <c r="W470" s="4">
        <v>2.64</v>
      </c>
      <c r="X470" t="s">
        <v>91</v>
      </c>
      <c r="Y470">
        <v>0.75</v>
      </c>
      <c r="AA470">
        <v>0</v>
      </c>
      <c r="BF470" s="4">
        <v>1819.76</v>
      </c>
      <c r="BG470" s="4"/>
      <c r="BH470" s="4">
        <v>12738.29</v>
      </c>
    </row>
    <row r="471" spans="6:60" hidden="1">
      <c r="F471" s="2" t="s">
        <v>597</v>
      </c>
      <c r="J471" t="s">
        <v>89</v>
      </c>
      <c r="K471" s="2" t="s">
        <v>447</v>
      </c>
      <c r="O471" s="3">
        <f t="shared" si="14"/>
        <v>1.54</v>
      </c>
      <c r="P471" s="4">
        <v>0.35</v>
      </c>
      <c r="Q471">
        <f t="shared" si="15"/>
        <v>6.9999999999999993E-2</v>
      </c>
      <c r="R471" s="4">
        <v>1.47</v>
      </c>
      <c r="S471">
        <v>1</v>
      </c>
      <c r="V471">
        <v>1</v>
      </c>
      <c r="W471" s="4">
        <v>1.47</v>
      </c>
      <c r="X471" t="s">
        <v>91</v>
      </c>
      <c r="Y471">
        <v>0.75</v>
      </c>
      <c r="AA471">
        <v>0</v>
      </c>
      <c r="BF471" s="4">
        <v>829.28</v>
      </c>
      <c r="BG471" s="4"/>
      <c r="BH471" s="4">
        <v>5804.95</v>
      </c>
    </row>
    <row r="472" spans="6:60" hidden="1">
      <c r="F472" s="2" t="s">
        <v>598</v>
      </c>
      <c r="J472" t="s">
        <v>89</v>
      </c>
      <c r="K472" s="2" t="s">
        <v>447</v>
      </c>
      <c r="O472" s="3">
        <f t="shared" si="14"/>
        <v>1.33</v>
      </c>
      <c r="P472" s="4">
        <v>0.25</v>
      </c>
      <c r="Q472">
        <f t="shared" si="15"/>
        <v>0.05</v>
      </c>
      <c r="R472" s="4">
        <v>1.28</v>
      </c>
      <c r="S472">
        <v>1</v>
      </c>
      <c r="V472">
        <v>1</v>
      </c>
      <c r="W472" s="4">
        <v>1.28</v>
      </c>
      <c r="X472" t="s">
        <v>91</v>
      </c>
      <c r="Y472">
        <v>0.75</v>
      </c>
      <c r="AA472">
        <v>0</v>
      </c>
      <c r="BF472" s="4">
        <v>726.53</v>
      </c>
      <c r="BG472" s="4"/>
      <c r="BH472" s="4">
        <v>5085.7</v>
      </c>
    </row>
    <row r="473" spans="6:60" hidden="1">
      <c r="F473" s="2" t="s">
        <v>599</v>
      </c>
      <c r="J473" t="s">
        <v>89</v>
      </c>
      <c r="K473" s="2" t="s">
        <v>447</v>
      </c>
      <c r="O473" s="3">
        <f t="shared" si="14"/>
        <v>13.872</v>
      </c>
      <c r="P473" s="4">
        <v>1.86</v>
      </c>
      <c r="Q473">
        <f t="shared" si="15"/>
        <v>0.372</v>
      </c>
      <c r="R473" s="4">
        <v>13.5</v>
      </c>
      <c r="S473">
        <v>1</v>
      </c>
      <c r="V473">
        <v>1</v>
      </c>
      <c r="W473" s="4">
        <v>13.5</v>
      </c>
      <c r="X473" t="s">
        <v>91</v>
      </c>
      <c r="Y473">
        <v>0.75</v>
      </c>
      <c r="AA473">
        <v>0</v>
      </c>
      <c r="BF473" s="4">
        <v>11485</v>
      </c>
      <c r="BG473" s="4"/>
      <c r="BH473" s="4">
        <v>88300</v>
      </c>
    </row>
    <row r="474" spans="6:60" hidden="1">
      <c r="F474" s="2" t="s">
        <v>600</v>
      </c>
      <c r="J474" t="s">
        <v>89</v>
      </c>
      <c r="K474" s="2" t="s">
        <v>447</v>
      </c>
      <c r="O474" s="3">
        <f t="shared" si="14"/>
        <v>3.8920000000000003</v>
      </c>
      <c r="P474" s="4">
        <v>1.06</v>
      </c>
      <c r="Q474">
        <f t="shared" si="15"/>
        <v>0.21200000000000002</v>
      </c>
      <c r="R474" s="4">
        <v>3.68</v>
      </c>
      <c r="S474">
        <v>1</v>
      </c>
      <c r="V474">
        <v>1</v>
      </c>
      <c r="W474" s="4">
        <v>3.68</v>
      </c>
      <c r="X474" t="s">
        <v>91</v>
      </c>
      <c r="Y474">
        <v>0.75</v>
      </c>
      <c r="AA474">
        <v>0</v>
      </c>
      <c r="BF474" s="4">
        <v>1865</v>
      </c>
      <c r="BG474" s="4"/>
      <c r="BH474" s="4">
        <v>10250</v>
      </c>
    </row>
    <row r="475" spans="6:60" hidden="1">
      <c r="F475" s="2" t="s">
        <v>601</v>
      </c>
      <c r="J475" t="s">
        <v>89</v>
      </c>
      <c r="K475" s="2" t="s">
        <v>447</v>
      </c>
      <c r="O475" s="3">
        <f t="shared" si="14"/>
        <v>6.992</v>
      </c>
      <c r="P475" s="4">
        <v>1.26</v>
      </c>
      <c r="Q475">
        <f t="shared" si="15"/>
        <v>0.252</v>
      </c>
      <c r="R475" s="4">
        <v>6.74</v>
      </c>
      <c r="S475">
        <v>1</v>
      </c>
      <c r="V475">
        <v>1</v>
      </c>
      <c r="W475" s="4">
        <v>6.74</v>
      </c>
      <c r="X475" t="s">
        <v>91</v>
      </c>
      <c r="Y475">
        <v>0.75</v>
      </c>
      <c r="AA475">
        <v>0</v>
      </c>
      <c r="BF475" s="4">
        <v>3942</v>
      </c>
      <c r="BG475" s="4"/>
      <c r="BH475" s="4">
        <v>27596</v>
      </c>
    </row>
    <row r="476" spans="6:60" hidden="1">
      <c r="F476" s="2" t="s">
        <v>602</v>
      </c>
      <c r="J476" t="s">
        <v>89</v>
      </c>
      <c r="K476" s="2" t="s">
        <v>447</v>
      </c>
      <c r="O476" s="3">
        <f t="shared" si="14"/>
        <v>7.2200000000000006</v>
      </c>
      <c r="P476" s="4">
        <v>0.55000000000000004</v>
      </c>
      <c r="Q476">
        <f t="shared" si="15"/>
        <v>0.11000000000000001</v>
      </c>
      <c r="R476" s="4">
        <v>7.11</v>
      </c>
      <c r="S476">
        <v>1</v>
      </c>
      <c r="V476">
        <v>1</v>
      </c>
      <c r="W476" s="4">
        <v>7.11</v>
      </c>
      <c r="X476" t="s">
        <v>91</v>
      </c>
      <c r="Y476">
        <v>0.75</v>
      </c>
      <c r="AA476">
        <v>0</v>
      </c>
      <c r="BF476" s="4">
        <v>3214</v>
      </c>
      <c r="BG476" s="4"/>
      <c r="BH476" s="4">
        <v>22500</v>
      </c>
    </row>
    <row r="477" spans="6:60" hidden="1">
      <c r="F477" s="2" t="s">
        <v>603</v>
      </c>
      <c r="J477" t="s">
        <v>89</v>
      </c>
      <c r="K477" s="2" t="s">
        <v>447</v>
      </c>
      <c r="O477" s="3">
        <f t="shared" si="14"/>
        <v>2.4159999999999999</v>
      </c>
      <c r="P477" s="4">
        <v>0.43</v>
      </c>
      <c r="Q477">
        <f t="shared" si="15"/>
        <v>8.5999999999999993E-2</v>
      </c>
      <c r="R477" s="4">
        <v>2.33</v>
      </c>
      <c r="S477">
        <v>1</v>
      </c>
      <c r="V477">
        <v>1</v>
      </c>
      <c r="W477" s="4">
        <v>2.33</v>
      </c>
      <c r="X477" t="s">
        <v>91</v>
      </c>
      <c r="Y477">
        <v>0.75</v>
      </c>
      <c r="AA477">
        <v>0</v>
      </c>
      <c r="BF477" s="4">
        <v>1433</v>
      </c>
      <c r="BG477" s="4"/>
      <c r="BH477" s="4">
        <v>10033</v>
      </c>
    </row>
    <row r="478" spans="6:60" hidden="1">
      <c r="F478" s="2" t="s">
        <v>604</v>
      </c>
      <c r="J478" t="s">
        <v>89</v>
      </c>
      <c r="K478" s="2" t="s">
        <v>447</v>
      </c>
      <c r="O478" s="3">
        <f t="shared" si="14"/>
        <v>7.14</v>
      </c>
      <c r="P478" s="4">
        <v>0.7</v>
      </c>
      <c r="Q478">
        <f t="shared" si="15"/>
        <v>0.13999999999999999</v>
      </c>
      <c r="R478" s="4">
        <v>7</v>
      </c>
      <c r="S478">
        <v>1</v>
      </c>
      <c r="V478">
        <v>1</v>
      </c>
      <c r="W478" s="4">
        <v>7</v>
      </c>
      <c r="X478" t="s">
        <v>91</v>
      </c>
      <c r="Y478">
        <v>0.75</v>
      </c>
      <c r="AA478">
        <v>0</v>
      </c>
      <c r="BF478" s="4">
        <v>3366</v>
      </c>
      <c r="BG478" s="4"/>
      <c r="BH478" s="4">
        <v>23562</v>
      </c>
    </row>
    <row r="479" spans="6:60" hidden="1">
      <c r="F479" s="2" t="s">
        <v>605</v>
      </c>
      <c r="J479" t="s">
        <v>89</v>
      </c>
      <c r="K479" s="2" t="s">
        <v>447</v>
      </c>
      <c r="O479" s="3">
        <f t="shared" si="14"/>
        <v>2.9819999999999998</v>
      </c>
      <c r="P479" s="4">
        <v>0.21</v>
      </c>
      <c r="Q479">
        <f t="shared" si="15"/>
        <v>4.1999999999999996E-2</v>
      </c>
      <c r="R479" s="4">
        <v>2.94</v>
      </c>
      <c r="S479">
        <v>1</v>
      </c>
      <c r="V479">
        <v>1</v>
      </c>
      <c r="W479" s="4">
        <v>2.94</v>
      </c>
      <c r="X479" t="s">
        <v>91</v>
      </c>
      <c r="Y479">
        <v>0.75</v>
      </c>
      <c r="AA479">
        <v>0</v>
      </c>
      <c r="BF479" s="4">
        <v>1352</v>
      </c>
      <c r="BG479" s="4"/>
      <c r="BH479" s="4">
        <v>9465</v>
      </c>
    </row>
    <row r="480" spans="6:60" hidden="1">
      <c r="F480" s="2" t="s">
        <v>606</v>
      </c>
      <c r="J480" t="s">
        <v>89</v>
      </c>
      <c r="K480" s="2" t="s">
        <v>447</v>
      </c>
      <c r="O480" s="3">
        <f t="shared" si="14"/>
        <v>1.802</v>
      </c>
      <c r="P480" s="4">
        <v>0.31</v>
      </c>
      <c r="Q480">
        <f t="shared" si="15"/>
        <v>6.2E-2</v>
      </c>
      <c r="R480" s="4">
        <v>1.74</v>
      </c>
      <c r="S480">
        <v>1</v>
      </c>
      <c r="V480">
        <v>1</v>
      </c>
      <c r="W480" s="4">
        <v>1.74</v>
      </c>
      <c r="X480" t="s">
        <v>91</v>
      </c>
      <c r="Y480">
        <v>0.75</v>
      </c>
      <c r="AA480">
        <v>0</v>
      </c>
      <c r="BF480" s="4">
        <v>828.08</v>
      </c>
      <c r="BG480" s="4"/>
      <c r="BH480" s="4">
        <v>5796.54</v>
      </c>
    </row>
    <row r="481" spans="6:60" hidden="1">
      <c r="F481" s="2" t="s">
        <v>607</v>
      </c>
      <c r="J481" t="s">
        <v>89</v>
      </c>
      <c r="K481" s="2" t="s">
        <v>447</v>
      </c>
      <c r="O481" s="3">
        <f t="shared" si="14"/>
        <v>1.8660000000000001</v>
      </c>
      <c r="P481" s="4">
        <v>0.33</v>
      </c>
      <c r="Q481">
        <f t="shared" si="15"/>
        <v>6.6000000000000003E-2</v>
      </c>
      <c r="R481" s="4">
        <v>1.8</v>
      </c>
      <c r="S481">
        <v>1</v>
      </c>
      <c r="V481">
        <v>1</v>
      </c>
      <c r="W481" s="4">
        <v>1.8</v>
      </c>
      <c r="X481" t="s">
        <v>91</v>
      </c>
      <c r="Y481">
        <v>0.75</v>
      </c>
      <c r="AA481">
        <v>0</v>
      </c>
      <c r="BF481" s="4">
        <v>867.56</v>
      </c>
      <c r="BG481" s="4"/>
      <c r="BH481" s="4">
        <v>6072.93</v>
      </c>
    </row>
    <row r="482" spans="6:60" hidden="1">
      <c r="F482" s="2" t="s">
        <v>608</v>
      </c>
      <c r="J482" t="s">
        <v>89</v>
      </c>
      <c r="K482" s="2" t="s">
        <v>447</v>
      </c>
      <c r="O482" s="3">
        <f t="shared" si="14"/>
        <v>1.6240000000000001</v>
      </c>
      <c r="P482" s="4">
        <v>0.12</v>
      </c>
      <c r="Q482">
        <f t="shared" si="15"/>
        <v>2.4E-2</v>
      </c>
      <c r="R482" s="4">
        <v>1.6</v>
      </c>
      <c r="S482">
        <v>1</v>
      </c>
      <c r="V482">
        <v>1</v>
      </c>
      <c r="W482" s="4">
        <v>1.6</v>
      </c>
      <c r="X482" t="s">
        <v>91</v>
      </c>
      <c r="Y482">
        <v>0.75</v>
      </c>
      <c r="AA482">
        <v>0</v>
      </c>
      <c r="BF482" s="4">
        <v>589.94000000000005</v>
      </c>
      <c r="BG482" s="4"/>
      <c r="BH482" s="4">
        <v>4129.6099999999997</v>
      </c>
    </row>
    <row r="483" spans="6:60" hidden="1">
      <c r="F483" s="2" t="s">
        <v>609</v>
      </c>
      <c r="J483" t="s">
        <v>89</v>
      </c>
      <c r="K483" s="2" t="s">
        <v>447</v>
      </c>
      <c r="O483" s="3">
        <f t="shared" si="14"/>
        <v>2.6920000000000002</v>
      </c>
      <c r="P483" s="4">
        <v>0.16</v>
      </c>
      <c r="Q483">
        <f t="shared" si="15"/>
        <v>3.2000000000000001E-2</v>
      </c>
      <c r="R483" s="4">
        <v>2.66</v>
      </c>
      <c r="S483">
        <v>1</v>
      </c>
      <c r="V483">
        <v>1</v>
      </c>
      <c r="W483" s="4">
        <v>2.66</v>
      </c>
      <c r="X483" t="s">
        <v>91</v>
      </c>
      <c r="Y483">
        <v>0.75</v>
      </c>
      <c r="AA483">
        <v>0</v>
      </c>
      <c r="BF483" s="4">
        <v>1316</v>
      </c>
      <c r="BG483" s="4"/>
      <c r="BH483" s="4">
        <v>9212</v>
      </c>
    </row>
    <row r="484" spans="6:60" hidden="1">
      <c r="F484" s="2" t="s">
        <v>610</v>
      </c>
      <c r="J484" t="s">
        <v>89</v>
      </c>
      <c r="K484" s="2" t="s">
        <v>447</v>
      </c>
      <c r="O484" s="3">
        <f t="shared" si="14"/>
        <v>4.6219999999999999</v>
      </c>
      <c r="P484" s="4">
        <v>1.1599999999999999</v>
      </c>
      <c r="Q484">
        <f t="shared" si="15"/>
        <v>0.23199999999999998</v>
      </c>
      <c r="R484" s="4">
        <v>4.3899999999999997</v>
      </c>
      <c r="S484">
        <v>1</v>
      </c>
      <c r="V484">
        <v>1</v>
      </c>
      <c r="W484" s="4">
        <v>4.3899999999999997</v>
      </c>
      <c r="X484" t="s">
        <v>91</v>
      </c>
      <c r="Y484">
        <v>0.75</v>
      </c>
      <c r="AA484">
        <v>0</v>
      </c>
      <c r="BF484" s="4">
        <v>3712</v>
      </c>
      <c r="BG484" s="4"/>
      <c r="BH484" s="4">
        <v>26000</v>
      </c>
    </row>
    <row r="485" spans="6:60" hidden="1">
      <c r="F485" s="2" t="s">
        <v>611</v>
      </c>
      <c r="J485" t="s">
        <v>89</v>
      </c>
      <c r="K485" s="2" t="s">
        <v>447</v>
      </c>
      <c r="O485" s="3">
        <f t="shared" si="14"/>
        <v>4.9359999999999999</v>
      </c>
      <c r="P485" s="4">
        <v>0.48</v>
      </c>
      <c r="Q485">
        <f t="shared" si="15"/>
        <v>9.6000000000000002E-2</v>
      </c>
      <c r="R485" s="4">
        <v>4.84</v>
      </c>
      <c r="S485">
        <v>1</v>
      </c>
      <c r="V485">
        <v>1</v>
      </c>
      <c r="W485" s="4">
        <v>4.84</v>
      </c>
      <c r="X485" t="s">
        <v>91</v>
      </c>
      <c r="Y485">
        <v>0.75</v>
      </c>
      <c r="AA485">
        <v>0</v>
      </c>
      <c r="BF485" s="4">
        <v>2259</v>
      </c>
      <c r="BG485" s="4"/>
      <c r="BH485" s="4">
        <v>15820</v>
      </c>
    </row>
    <row r="486" spans="6:60" hidden="1">
      <c r="F486" s="2" t="s">
        <v>612</v>
      </c>
      <c r="J486" t="s">
        <v>89</v>
      </c>
      <c r="K486" s="2" t="s">
        <v>447</v>
      </c>
      <c r="O486" s="3">
        <f t="shared" si="14"/>
        <v>5.266</v>
      </c>
      <c r="P486" s="4">
        <v>1.28</v>
      </c>
      <c r="Q486">
        <f t="shared" si="15"/>
        <v>0.25600000000000001</v>
      </c>
      <c r="R486" s="4">
        <v>5.01</v>
      </c>
      <c r="S486">
        <v>1</v>
      </c>
      <c r="V486">
        <v>1</v>
      </c>
      <c r="W486" s="4">
        <v>5.01</v>
      </c>
      <c r="X486" t="s">
        <v>91</v>
      </c>
      <c r="Y486">
        <v>0.75</v>
      </c>
      <c r="AA486">
        <v>0</v>
      </c>
      <c r="BF486" s="4">
        <v>4887.8500000000004</v>
      </c>
      <c r="BG486" s="4"/>
      <c r="BH486" s="4">
        <v>34214.97</v>
      </c>
    </row>
    <row r="487" spans="6:60" hidden="1">
      <c r="F487" s="2" t="s">
        <v>613</v>
      </c>
      <c r="J487" t="s">
        <v>89</v>
      </c>
      <c r="K487" s="2" t="s">
        <v>447</v>
      </c>
      <c r="O487" s="3">
        <f t="shared" si="14"/>
        <v>6.5020000000000007</v>
      </c>
      <c r="P487" s="4">
        <v>0.51</v>
      </c>
      <c r="Q487">
        <f t="shared" si="15"/>
        <v>0.10200000000000001</v>
      </c>
      <c r="R487" s="4">
        <v>6.4</v>
      </c>
      <c r="S487">
        <v>1</v>
      </c>
      <c r="V487">
        <v>1</v>
      </c>
      <c r="W487" s="4">
        <v>6.4</v>
      </c>
      <c r="X487" t="s">
        <v>91</v>
      </c>
      <c r="Y487">
        <v>0.75</v>
      </c>
      <c r="AA487">
        <v>0</v>
      </c>
      <c r="BF487" s="4">
        <v>3389.9</v>
      </c>
      <c r="BG487" s="4"/>
      <c r="BH487" s="4">
        <v>23729.29</v>
      </c>
    </row>
    <row r="488" spans="6:60" hidden="1">
      <c r="F488" s="2" t="s">
        <v>614</v>
      </c>
      <c r="J488" t="s">
        <v>89</v>
      </c>
      <c r="K488" s="2" t="s">
        <v>447</v>
      </c>
      <c r="O488" s="3">
        <f t="shared" si="14"/>
        <v>5.016</v>
      </c>
      <c r="P488" s="4">
        <v>0.78</v>
      </c>
      <c r="Q488">
        <f t="shared" si="15"/>
        <v>0.156</v>
      </c>
      <c r="R488" s="4">
        <v>4.8600000000000003</v>
      </c>
      <c r="S488">
        <v>1</v>
      </c>
      <c r="V488">
        <v>1</v>
      </c>
      <c r="W488" s="4">
        <v>4.8600000000000003</v>
      </c>
      <c r="X488" t="s">
        <v>91</v>
      </c>
      <c r="Y488">
        <v>0.75</v>
      </c>
      <c r="AA488">
        <v>0</v>
      </c>
      <c r="BF488" s="4">
        <v>1800</v>
      </c>
      <c r="BG488" s="4"/>
      <c r="BH488" s="4">
        <v>12600</v>
      </c>
    </row>
    <row r="489" spans="6:60" hidden="1">
      <c r="F489" s="2" t="s">
        <v>615</v>
      </c>
      <c r="J489" t="s">
        <v>89</v>
      </c>
      <c r="K489" s="2" t="s">
        <v>447</v>
      </c>
      <c r="O489" s="3">
        <f t="shared" si="14"/>
        <v>1.996</v>
      </c>
      <c r="P489" s="4">
        <v>0.48</v>
      </c>
      <c r="Q489">
        <f t="shared" si="15"/>
        <v>9.6000000000000002E-2</v>
      </c>
      <c r="R489" s="4">
        <v>1.9</v>
      </c>
      <c r="S489">
        <v>1</v>
      </c>
      <c r="V489">
        <v>1</v>
      </c>
      <c r="W489" s="4">
        <v>1.9</v>
      </c>
      <c r="X489" t="s">
        <v>91</v>
      </c>
      <c r="Y489">
        <v>0.75</v>
      </c>
      <c r="AA489">
        <v>0</v>
      </c>
      <c r="BF489" s="4">
        <v>1365</v>
      </c>
      <c r="BG489" s="4"/>
      <c r="BH489" s="4">
        <v>9555</v>
      </c>
    </row>
    <row r="490" spans="6:60" hidden="1">
      <c r="F490" s="2" t="s">
        <v>616</v>
      </c>
      <c r="J490" t="s">
        <v>89</v>
      </c>
      <c r="K490" s="2" t="s">
        <v>447</v>
      </c>
      <c r="O490" s="3">
        <f t="shared" si="14"/>
        <v>7.4660000000000002</v>
      </c>
      <c r="P490" s="4">
        <v>0.88</v>
      </c>
      <c r="Q490">
        <f t="shared" si="15"/>
        <v>0.17599999999999999</v>
      </c>
      <c r="R490" s="4">
        <v>7.29</v>
      </c>
      <c r="S490">
        <v>1</v>
      </c>
      <c r="V490">
        <v>1</v>
      </c>
      <c r="W490" s="4">
        <v>7.29</v>
      </c>
      <c r="X490" t="s">
        <v>91</v>
      </c>
      <c r="Y490">
        <v>0.75</v>
      </c>
      <c r="AA490">
        <v>0</v>
      </c>
      <c r="BF490" s="4">
        <v>4490.88</v>
      </c>
      <c r="BG490" s="4"/>
      <c r="BH490" s="4">
        <v>31436.18</v>
      </c>
    </row>
    <row r="491" spans="6:60" hidden="1">
      <c r="F491" s="2" t="s">
        <v>617</v>
      </c>
      <c r="J491" t="s">
        <v>89</v>
      </c>
      <c r="K491" s="2" t="s">
        <v>447</v>
      </c>
      <c r="O491" s="3">
        <f t="shared" si="14"/>
        <v>7.1159999999999997</v>
      </c>
      <c r="P491" s="4">
        <v>0.57999999999999996</v>
      </c>
      <c r="Q491">
        <f t="shared" si="15"/>
        <v>0.11599999999999999</v>
      </c>
      <c r="R491" s="4">
        <v>7</v>
      </c>
      <c r="S491">
        <v>1</v>
      </c>
      <c r="V491">
        <v>1</v>
      </c>
      <c r="W491" s="4">
        <v>7</v>
      </c>
      <c r="X491" t="s">
        <v>91</v>
      </c>
      <c r="Y491">
        <v>0.75</v>
      </c>
      <c r="AA491">
        <v>0</v>
      </c>
      <c r="BF491" s="4">
        <v>3819.29</v>
      </c>
      <c r="BG491" s="4"/>
      <c r="BH491" s="4">
        <v>26735.03</v>
      </c>
    </row>
    <row r="492" spans="6:60" hidden="1">
      <c r="F492" s="2" t="s">
        <v>618</v>
      </c>
      <c r="J492" t="s">
        <v>89</v>
      </c>
      <c r="K492" s="2" t="s">
        <v>447</v>
      </c>
      <c r="O492" s="3">
        <f t="shared" si="14"/>
        <v>2.9939999999999998</v>
      </c>
      <c r="P492" s="4">
        <v>0.27</v>
      </c>
      <c r="Q492">
        <f t="shared" si="15"/>
        <v>5.4000000000000006E-2</v>
      </c>
      <c r="R492" s="4">
        <v>2.94</v>
      </c>
      <c r="S492">
        <v>1</v>
      </c>
      <c r="V492">
        <v>1</v>
      </c>
      <c r="W492" s="4">
        <v>2.94</v>
      </c>
      <c r="X492" t="s">
        <v>91</v>
      </c>
      <c r="Y492">
        <v>0.75</v>
      </c>
      <c r="AA492">
        <v>0</v>
      </c>
      <c r="BF492" s="4">
        <v>2402.9699999999998</v>
      </c>
      <c r="BG492" s="4"/>
      <c r="BH492" s="4">
        <v>16820.8</v>
      </c>
    </row>
    <row r="493" spans="6:60" hidden="1">
      <c r="F493" s="2" t="s">
        <v>619</v>
      </c>
      <c r="J493" t="s">
        <v>89</v>
      </c>
      <c r="K493" s="2" t="s">
        <v>447</v>
      </c>
      <c r="O493" s="3">
        <f t="shared" si="14"/>
        <v>4.0960000000000001</v>
      </c>
      <c r="P493" s="4">
        <v>1.43</v>
      </c>
      <c r="Q493">
        <f t="shared" si="15"/>
        <v>0.28599999999999998</v>
      </c>
      <c r="R493" s="4">
        <v>3.81</v>
      </c>
      <c r="S493">
        <v>1</v>
      </c>
      <c r="V493">
        <v>1</v>
      </c>
      <c r="W493" s="4">
        <v>3.81</v>
      </c>
      <c r="X493" t="s">
        <v>91</v>
      </c>
      <c r="Y493">
        <v>0.75</v>
      </c>
      <c r="AA493">
        <v>0</v>
      </c>
      <c r="BF493" s="4">
        <v>3308.04</v>
      </c>
      <c r="BG493" s="4"/>
      <c r="BH493" s="4">
        <v>23156.27</v>
      </c>
    </row>
    <row r="494" spans="6:60" hidden="1">
      <c r="F494" s="2" t="s">
        <v>620</v>
      </c>
      <c r="J494" t="s">
        <v>89</v>
      </c>
      <c r="K494" s="2" t="s">
        <v>447</v>
      </c>
      <c r="O494" s="3">
        <f t="shared" si="14"/>
        <v>8.7219999999999995</v>
      </c>
      <c r="P494" s="4">
        <v>1.01</v>
      </c>
      <c r="Q494">
        <f t="shared" si="15"/>
        <v>0.20200000000000001</v>
      </c>
      <c r="R494" s="4">
        <v>8.52</v>
      </c>
      <c r="S494">
        <v>1</v>
      </c>
      <c r="V494">
        <v>1</v>
      </c>
      <c r="W494" s="4">
        <v>8.52</v>
      </c>
      <c r="X494" t="s">
        <v>91</v>
      </c>
      <c r="Y494">
        <v>0.75</v>
      </c>
      <c r="AA494">
        <v>0</v>
      </c>
      <c r="BF494" s="4">
        <v>5055.18</v>
      </c>
      <c r="BG494" s="4"/>
      <c r="BH494" s="4">
        <v>35386.230000000003</v>
      </c>
    </row>
    <row r="495" spans="6:60" hidden="1">
      <c r="F495" s="2" t="s">
        <v>621</v>
      </c>
      <c r="J495" t="s">
        <v>89</v>
      </c>
      <c r="K495" s="2" t="s">
        <v>447</v>
      </c>
      <c r="O495" s="3">
        <f t="shared" si="14"/>
        <v>5.0280000000000005</v>
      </c>
      <c r="P495" s="4">
        <v>0.59</v>
      </c>
      <c r="Q495">
        <f t="shared" si="15"/>
        <v>0.11799999999999999</v>
      </c>
      <c r="R495" s="4">
        <v>4.91</v>
      </c>
      <c r="S495">
        <v>1</v>
      </c>
      <c r="V495">
        <v>1</v>
      </c>
      <c r="W495" s="4">
        <v>4.91</v>
      </c>
      <c r="X495" t="s">
        <v>91</v>
      </c>
      <c r="Y495">
        <v>0.75</v>
      </c>
      <c r="AA495">
        <v>0</v>
      </c>
      <c r="BF495" s="4">
        <v>2750</v>
      </c>
      <c r="BG495" s="4"/>
      <c r="BH495" s="4">
        <v>19240</v>
      </c>
    </row>
    <row r="496" spans="6:60" hidden="1">
      <c r="F496" s="2" t="s">
        <v>622</v>
      </c>
      <c r="J496" t="s">
        <v>89</v>
      </c>
      <c r="K496" s="2" t="s">
        <v>447</v>
      </c>
      <c r="O496" s="3">
        <f t="shared" si="14"/>
        <v>4.6680000000000001</v>
      </c>
      <c r="P496" s="4">
        <v>0.69</v>
      </c>
      <c r="Q496">
        <f t="shared" si="15"/>
        <v>0.13799999999999998</v>
      </c>
      <c r="R496" s="4">
        <v>4.53</v>
      </c>
      <c r="S496">
        <v>1</v>
      </c>
      <c r="V496">
        <v>1</v>
      </c>
      <c r="W496" s="4">
        <v>4.53</v>
      </c>
      <c r="X496" t="s">
        <v>91</v>
      </c>
      <c r="Y496">
        <v>0.75</v>
      </c>
      <c r="AA496">
        <v>0</v>
      </c>
      <c r="BF496" s="4">
        <v>2620</v>
      </c>
      <c r="BG496" s="4"/>
      <c r="BH496" s="4">
        <v>22596</v>
      </c>
    </row>
    <row r="497" spans="6:60" hidden="1">
      <c r="F497" s="2" t="s">
        <v>623</v>
      </c>
      <c r="J497" t="s">
        <v>89</v>
      </c>
      <c r="K497" s="2" t="s">
        <v>447</v>
      </c>
      <c r="O497" s="3">
        <f t="shared" si="14"/>
        <v>3.234</v>
      </c>
      <c r="P497" s="4">
        <v>0.52</v>
      </c>
      <c r="Q497">
        <f t="shared" si="15"/>
        <v>0.10400000000000001</v>
      </c>
      <c r="R497" s="4">
        <v>3.13</v>
      </c>
      <c r="S497">
        <v>1</v>
      </c>
      <c r="V497">
        <v>1</v>
      </c>
      <c r="W497" s="4">
        <v>3.13</v>
      </c>
      <c r="X497" t="s">
        <v>91</v>
      </c>
      <c r="Y497">
        <v>0.75</v>
      </c>
      <c r="AA497">
        <v>0</v>
      </c>
      <c r="BF497" s="4">
        <v>1438.66</v>
      </c>
      <c r="BG497" s="4"/>
      <c r="BH497" s="4">
        <v>10070.629999999999</v>
      </c>
    </row>
    <row r="498" spans="6:60" hidden="1">
      <c r="F498" s="2" t="s">
        <v>624</v>
      </c>
      <c r="J498" t="s">
        <v>89</v>
      </c>
      <c r="K498" s="2" t="s">
        <v>447</v>
      </c>
      <c r="O498" s="3">
        <f t="shared" si="14"/>
        <v>2.9620000000000002</v>
      </c>
      <c r="P498" s="4">
        <v>0.26</v>
      </c>
      <c r="Q498">
        <f t="shared" si="15"/>
        <v>5.2000000000000005E-2</v>
      </c>
      <c r="R498" s="4">
        <v>2.91</v>
      </c>
      <c r="S498">
        <v>1</v>
      </c>
      <c r="V498">
        <v>1</v>
      </c>
      <c r="W498" s="4">
        <v>2.91</v>
      </c>
      <c r="X498" t="s">
        <v>91</v>
      </c>
      <c r="Y498">
        <v>0.75</v>
      </c>
      <c r="AA498">
        <v>0</v>
      </c>
      <c r="BF498" s="4">
        <v>1097.77</v>
      </c>
      <c r="BG498" s="4"/>
      <c r="BH498" s="4">
        <v>7684.39</v>
      </c>
    </row>
    <row r="499" spans="6:60" hidden="1">
      <c r="F499" s="2" t="s">
        <v>625</v>
      </c>
      <c r="J499" t="s">
        <v>89</v>
      </c>
      <c r="K499" s="2" t="s">
        <v>447</v>
      </c>
      <c r="O499" s="3">
        <f t="shared" si="14"/>
        <v>1.8860000000000001</v>
      </c>
      <c r="P499" s="4">
        <v>0.57999999999999996</v>
      </c>
      <c r="Q499">
        <f t="shared" si="15"/>
        <v>0.11599999999999999</v>
      </c>
      <c r="R499" s="4">
        <v>1.77</v>
      </c>
      <c r="S499">
        <v>1</v>
      </c>
      <c r="V499">
        <v>1</v>
      </c>
      <c r="W499" s="4">
        <v>1.77</v>
      </c>
      <c r="X499" t="s">
        <v>91</v>
      </c>
      <c r="Y499">
        <v>0.75</v>
      </c>
      <c r="AA499">
        <v>0</v>
      </c>
      <c r="BF499" s="4">
        <v>1080.47</v>
      </c>
      <c r="BG499" s="4"/>
      <c r="BH499" s="4">
        <v>7563.29</v>
      </c>
    </row>
    <row r="500" spans="6:60" hidden="1">
      <c r="F500" s="2" t="s">
        <v>626</v>
      </c>
      <c r="J500" t="s">
        <v>89</v>
      </c>
      <c r="K500" s="2" t="s">
        <v>447</v>
      </c>
      <c r="O500" s="3">
        <f t="shared" si="14"/>
        <v>3.02</v>
      </c>
      <c r="P500" s="4">
        <v>0.25</v>
      </c>
      <c r="Q500">
        <f t="shared" si="15"/>
        <v>0.05</v>
      </c>
      <c r="R500" s="4">
        <v>2.97</v>
      </c>
      <c r="S500">
        <v>1</v>
      </c>
      <c r="V500">
        <v>1</v>
      </c>
      <c r="W500" s="4">
        <v>2.97</v>
      </c>
      <c r="X500" t="s">
        <v>91</v>
      </c>
      <c r="Y500">
        <v>0.75</v>
      </c>
      <c r="AA500">
        <v>0</v>
      </c>
      <c r="BF500" s="4">
        <v>1140.4000000000001</v>
      </c>
      <c r="BG500" s="4"/>
      <c r="BH500" s="4">
        <v>7982.81</v>
      </c>
    </row>
    <row r="501" spans="6:60" hidden="1">
      <c r="F501" s="2" t="s">
        <v>627</v>
      </c>
      <c r="J501" t="s">
        <v>89</v>
      </c>
      <c r="K501" s="2" t="s">
        <v>447</v>
      </c>
      <c r="O501" s="3">
        <f t="shared" si="14"/>
        <v>1.538</v>
      </c>
      <c r="P501" s="4">
        <v>0.49</v>
      </c>
      <c r="Q501">
        <f t="shared" si="15"/>
        <v>9.8000000000000004E-2</v>
      </c>
      <c r="R501" s="4">
        <v>1.44</v>
      </c>
      <c r="S501">
        <v>1</v>
      </c>
      <c r="V501">
        <v>1</v>
      </c>
      <c r="W501" s="4">
        <v>1.44</v>
      </c>
      <c r="X501" t="s">
        <v>91</v>
      </c>
      <c r="Y501">
        <v>0.75</v>
      </c>
      <c r="AA501">
        <v>0</v>
      </c>
      <c r="BF501" s="4">
        <v>894.83</v>
      </c>
      <c r="BG501" s="4"/>
      <c r="BH501" s="4">
        <v>6263.79</v>
      </c>
    </row>
    <row r="502" spans="6:60" hidden="1">
      <c r="F502" s="2" t="s">
        <v>628</v>
      </c>
      <c r="J502" t="s">
        <v>89</v>
      </c>
      <c r="K502" s="2" t="s">
        <v>447</v>
      </c>
      <c r="O502" s="3">
        <f t="shared" si="14"/>
        <v>3.4</v>
      </c>
      <c r="P502" s="4">
        <v>0.35</v>
      </c>
      <c r="Q502">
        <f t="shared" si="15"/>
        <v>6.9999999999999993E-2</v>
      </c>
      <c r="R502" s="4">
        <v>3.33</v>
      </c>
      <c r="S502">
        <v>1</v>
      </c>
      <c r="V502">
        <v>1</v>
      </c>
      <c r="W502" s="4">
        <v>3.33</v>
      </c>
      <c r="X502" t="s">
        <v>91</v>
      </c>
      <c r="Y502">
        <v>0.75</v>
      </c>
      <c r="AA502">
        <v>0</v>
      </c>
      <c r="BF502" s="4">
        <v>1321.54</v>
      </c>
      <c r="BG502" s="4"/>
      <c r="BH502" s="4">
        <v>9250.7900000000009</v>
      </c>
    </row>
    <row r="503" spans="6:60" hidden="1">
      <c r="F503" s="2" t="s">
        <v>629</v>
      </c>
      <c r="J503" t="s">
        <v>89</v>
      </c>
      <c r="K503" s="2" t="s">
        <v>447</v>
      </c>
      <c r="O503" s="3">
        <f t="shared" si="14"/>
        <v>4.0620000000000003</v>
      </c>
      <c r="P503" s="4">
        <v>0.61</v>
      </c>
      <c r="Q503">
        <f t="shared" si="15"/>
        <v>0.122</v>
      </c>
      <c r="R503" s="4">
        <v>3.94</v>
      </c>
      <c r="S503">
        <v>1</v>
      </c>
      <c r="V503">
        <v>1</v>
      </c>
      <c r="W503" s="4">
        <v>3.94</v>
      </c>
      <c r="X503" t="s">
        <v>91</v>
      </c>
      <c r="Y503">
        <v>0.75</v>
      </c>
      <c r="AA503">
        <v>0</v>
      </c>
      <c r="BF503" s="4">
        <v>1710</v>
      </c>
      <c r="BG503" s="4"/>
      <c r="BH503" s="4">
        <v>11970</v>
      </c>
    </row>
    <row r="504" spans="6:60" hidden="1">
      <c r="F504" s="2" t="s">
        <v>630</v>
      </c>
      <c r="J504" t="s">
        <v>89</v>
      </c>
      <c r="K504" s="2" t="s">
        <v>447</v>
      </c>
      <c r="O504" s="3">
        <f t="shared" si="14"/>
        <v>2.1259999999999999</v>
      </c>
      <c r="P504" s="4">
        <v>0.13</v>
      </c>
      <c r="Q504">
        <f t="shared" si="15"/>
        <v>2.6000000000000002E-2</v>
      </c>
      <c r="R504" s="4">
        <v>2.1</v>
      </c>
      <c r="S504">
        <v>1</v>
      </c>
      <c r="V504">
        <v>1</v>
      </c>
      <c r="W504" s="4">
        <v>2.1</v>
      </c>
      <c r="X504" t="s">
        <v>91</v>
      </c>
      <c r="Y504">
        <v>0.75</v>
      </c>
      <c r="AA504">
        <v>0</v>
      </c>
      <c r="BF504" s="4">
        <v>836.63</v>
      </c>
      <c r="BG504" s="4"/>
      <c r="BH504" s="4">
        <v>5856.39</v>
      </c>
    </row>
    <row r="505" spans="6:60" hidden="1">
      <c r="F505" s="2" t="s">
        <v>631</v>
      </c>
      <c r="J505" t="s">
        <v>89</v>
      </c>
      <c r="K505" s="2" t="s">
        <v>447</v>
      </c>
      <c r="O505" s="3">
        <f t="shared" si="14"/>
        <v>3.3479999999999999</v>
      </c>
      <c r="P505" s="4">
        <v>0.24</v>
      </c>
      <c r="Q505">
        <f t="shared" si="15"/>
        <v>4.8000000000000001E-2</v>
      </c>
      <c r="R505" s="4">
        <v>3.3</v>
      </c>
      <c r="S505">
        <v>1</v>
      </c>
      <c r="V505">
        <v>1</v>
      </c>
      <c r="W505" s="4">
        <v>3.3</v>
      </c>
      <c r="X505" t="s">
        <v>91</v>
      </c>
      <c r="Y505">
        <v>0.75</v>
      </c>
      <c r="AA505">
        <v>0</v>
      </c>
      <c r="BF505" s="4">
        <v>1340.48</v>
      </c>
      <c r="BG505" s="4"/>
      <c r="BH505" s="4">
        <v>9383.36</v>
      </c>
    </row>
    <row r="506" spans="6:60" hidden="1">
      <c r="F506" s="2" t="s">
        <v>632</v>
      </c>
      <c r="J506" t="s">
        <v>89</v>
      </c>
      <c r="K506" s="2" t="s">
        <v>447</v>
      </c>
      <c r="O506" s="3">
        <f t="shared" si="14"/>
        <v>5.48</v>
      </c>
      <c r="P506" s="4">
        <v>0.4</v>
      </c>
      <c r="Q506">
        <f t="shared" si="15"/>
        <v>0.08</v>
      </c>
      <c r="R506" s="4">
        <v>5.4</v>
      </c>
      <c r="S506">
        <v>1</v>
      </c>
      <c r="V506">
        <v>1</v>
      </c>
      <c r="W506" s="4">
        <v>5.4</v>
      </c>
      <c r="X506" t="s">
        <v>91</v>
      </c>
      <c r="Y506">
        <v>0.75</v>
      </c>
      <c r="AA506">
        <v>0</v>
      </c>
      <c r="BF506" s="4">
        <v>2659</v>
      </c>
      <c r="BG506" s="4"/>
      <c r="BH506" s="4">
        <v>18620</v>
      </c>
    </row>
    <row r="507" spans="6:60" hidden="1">
      <c r="F507" s="2" t="s">
        <v>633</v>
      </c>
      <c r="J507" t="s">
        <v>89</v>
      </c>
      <c r="K507" s="2" t="s">
        <v>447</v>
      </c>
      <c r="O507" s="3">
        <f t="shared" si="14"/>
        <v>1.61</v>
      </c>
      <c r="P507" s="4">
        <v>0.2</v>
      </c>
      <c r="Q507">
        <f t="shared" si="15"/>
        <v>0.04</v>
      </c>
      <c r="R507" s="4">
        <v>1.57</v>
      </c>
      <c r="S507">
        <v>1</v>
      </c>
      <c r="V507">
        <v>1</v>
      </c>
      <c r="W507" s="4">
        <v>1.57</v>
      </c>
      <c r="X507" t="s">
        <v>91</v>
      </c>
      <c r="Y507">
        <v>0.75</v>
      </c>
      <c r="AA507">
        <v>0</v>
      </c>
      <c r="BF507" s="4">
        <v>642.20000000000005</v>
      </c>
      <c r="BG507" s="4"/>
      <c r="BH507" s="4">
        <v>4495.41</v>
      </c>
    </row>
    <row r="508" spans="6:60" hidden="1">
      <c r="F508" s="2" t="s">
        <v>634</v>
      </c>
      <c r="J508" t="s">
        <v>89</v>
      </c>
      <c r="K508" s="2" t="s">
        <v>447</v>
      </c>
      <c r="O508" s="3">
        <f t="shared" si="14"/>
        <v>3.9039999999999999</v>
      </c>
      <c r="P508" s="4">
        <v>0.52</v>
      </c>
      <c r="Q508">
        <f t="shared" si="15"/>
        <v>0.10400000000000001</v>
      </c>
      <c r="R508" s="4">
        <v>3.8</v>
      </c>
      <c r="S508">
        <v>1</v>
      </c>
      <c r="V508">
        <v>1</v>
      </c>
      <c r="W508" s="4">
        <v>3.8</v>
      </c>
      <c r="X508" t="s">
        <v>91</v>
      </c>
      <c r="Y508">
        <v>0.75</v>
      </c>
      <c r="AA508">
        <v>0</v>
      </c>
      <c r="BF508" s="4">
        <v>1583.69</v>
      </c>
      <c r="BG508" s="4"/>
      <c r="BH508" s="4">
        <v>11085.83</v>
      </c>
    </row>
    <row r="509" spans="6:60" hidden="1">
      <c r="F509" s="2" t="s">
        <v>635</v>
      </c>
      <c r="J509" t="s">
        <v>89</v>
      </c>
      <c r="K509" s="2" t="s">
        <v>447</v>
      </c>
      <c r="O509" s="3">
        <f t="shared" si="14"/>
        <v>1.258</v>
      </c>
      <c r="P509" s="4">
        <v>0.19</v>
      </c>
      <c r="Q509">
        <f t="shared" si="15"/>
        <v>3.7999999999999999E-2</v>
      </c>
      <c r="R509" s="4">
        <v>1.22</v>
      </c>
      <c r="S509">
        <v>1</v>
      </c>
      <c r="V509">
        <v>1</v>
      </c>
      <c r="W509" s="4">
        <v>1.22</v>
      </c>
      <c r="X509" t="s">
        <v>91</v>
      </c>
      <c r="Y509">
        <v>0.75</v>
      </c>
      <c r="AA509">
        <v>0</v>
      </c>
      <c r="BF509" s="4">
        <v>522.80999999999995</v>
      </c>
      <c r="BG509" s="4"/>
      <c r="BH509" s="4">
        <v>3659.68</v>
      </c>
    </row>
    <row r="510" spans="6:60" hidden="1">
      <c r="F510" s="2" t="s">
        <v>636</v>
      </c>
      <c r="J510" t="s">
        <v>89</v>
      </c>
      <c r="K510" s="2" t="s">
        <v>447</v>
      </c>
      <c r="O510" s="3">
        <f t="shared" si="14"/>
        <v>4.33</v>
      </c>
      <c r="P510" s="4">
        <v>0.5</v>
      </c>
      <c r="Q510">
        <f t="shared" si="15"/>
        <v>0.1</v>
      </c>
      <c r="R510" s="4">
        <v>4.2300000000000004</v>
      </c>
      <c r="S510">
        <v>1</v>
      </c>
      <c r="V510">
        <v>1</v>
      </c>
      <c r="W510" s="4">
        <v>4.2300000000000004</v>
      </c>
      <c r="X510" t="s">
        <v>91</v>
      </c>
      <c r="Y510">
        <v>0.75</v>
      </c>
      <c r="AA510">
        <v>0</v>
      </c>
      <c r="BF510" s="4">
        <v>1589.06</v>
      </c>
      <c r="BG510" s="4"/>
      <c r="BH510" s="4">
        <v>11123.44</v>
      </c>
    </row>
    <row r="511" spans="6:60" hidden="1">
      <c r="F511" s="2" t="s">
        <v>637</v>
      </c>
      <c r="J511" t="s">
        <v>89</v>
      </c>
      <c r="K511" s="2" t="s">
        <v>447</v>
      </c>
      <c r="O511" s="3">
        <f t="shared" si="14"/>
        <v>1.288</v>
      </c>
      <c r="P511" s="4">
        <v>0.28999999999999998</v>
      </c>
      <c r="Q511">
        <f t="shared" si="15"/>
        <v>5.7999999999999996E-2</v>
      </c>
      <c r="R511" s="4">
        <v>1.23</v>
      </c>
      <c r="S511">
        <v>1</v>
      </c>
      <c r="V511">
        <v>1</v>
      </c>
      <c r="W511" s="4">
        <v>1.23</v>
      </c>
      <c r="X511" t="s">
        <v>91</v>
      </c>
      <c r="Y511">
        <v>0.75</v>
      </c>
      <c r="AA511">
        <v>0</v>
      </c>
      <c r="BF511" s="4">
        <v>608</v>
      </c>
      <c r="BG511" s="4"/>
      <c r="BH511" s="4">
        <v>4254</v>
      </c>
    </row>
    <row r="512" spans="6:60" hidden="1">
      <c r="F512" s="2" t="s">
        <v>638</v>
      </c>
      <c r="J512" t="s">
        <v>89</v>
      </c>
      <c r="K512" s="2" t="s">
        <v>447</v>
      </c>
      <c r="O512" s="3">
        <f t="shared" si="14"/>
        <v>3.8120000000000003</v>
      </c>
      <c r="P512" s="4">
        <v>0.66</v>
      </c>
      <c r="Q512">
        <f t="shared" si="15"/>
        <v>0.13200000000000001</v>
      </c>
      <c r="R512" s="4">
        <v>3.68</v>
      </c>
      <c r="S512">
        <v>1</v>
      </c>
      <c r="V512">
        <v>1</v>
      </c>
      <c r="W512" s="4">
        <v>3.68</v>
      </c>
      <c r="X512" t="s">
        <v>91</v>
      </c>
      <c r="Y512">
        <v>0.75</v>
      </c>
      <c r="AA512">
        <v>0</v>
      </c>
      <c r="BF512" s="4">
        <v>1639.18</v>
      </c>
      <c r="BG512" s="4"/>
      <c r="BH512" s="4">
        <v>11474.29</v>
      </c>
    </row>
    <row r="513" spans="6:60" hidden="1">
      <c r="F513" s="2" t="s">
        <v>639</v>
      </c>
      <c r="J513" t="s">
        <v>89</v>
      </c>
      <c r="K513" s="2" t="s">
        <v>447</v>
      </c>
      <c r="O513" s="3">
        <f t="shared" si="14"/>
        <v>3.9180000000000001</v>
      </c>
      <c r="P513" s="4">
        <v>0.64</v>
      </c>
      <c r="Q513">
        <f t="shared" si="15"/>
        <v>0.128</v>
      </c>
      <c r="R513" s="4">
        <v>3.79</v>
      </c>
      <c r="S513">
        <v>1</v>
      </c>
      <c r="V513">
        <v>1</v>
      </c>
      <c r="W513" s="4">
        <v>3.79</v>
      </c>
      <c r="X513" t="s">
        <v>91</v>
      </c>
      <c r="Y513">
        <v>0.75</v>
      </c>
      <c r="AA513">
        <v>0</v>
      </c>
      <c r="BF513" s="4">
        <v>1900.81</v>
      </c>
      <c r="BG513" s="4"/>
      <c r="BH513" s="4">
        <v>13305.7</v>
      </c>
    </row>
    <row r="514" spans="6:60" hidden="1">
      <c r="F514" s="2" t="s">
        <v>640</v>
      </c>
      <c r="J514" t="s">
        <v>89</v>
      </c>
      <c r="K514" s="2" t="s">
        <v>447</v>
      </c>
      <c r="O514" s="3">
        <f t="shared" si="14"/>
        <v>4.7560000000000002</v>
      </c>
      <c r="P514" s="4">
        <v>1.58</v>
      </c>
      <c r="Q514">
        <f t="shared" si="15"/>
        <v>0.316</v>
      </c>
      <c r="R514" s="4">
        <v>4.4400000000000004</v>
      </c>
      <c r="S514">
        <v>1</v>
      </c>
      <c r="V514">
        <v>1</v>
      </c>
      <c r="W514" s="4">
        <v>4.4400000000000004</v>
      </c>
      <c r="X514" t="s">
        <v>91</v>
      </c>
      <c r="Y514">
        <v>0.75</v>
      </c>
      <c r="AA514">
        <v>0</v>
      </c>
      <c r="BF514" s="4">
        <v>5480</v>
      </c>
      <c r="BG514" s="4"/>
      <c r="BH514" s="4">
        <v>38300</v>
      </c>
    </row>
    <row r="515" spans="6:60" hidden="1">
      <c r="F515" s="2" t="s">
        <v>641</v>
      </c>
      <c r="J515" t="s">
        <v>89</v>
      </c>
      <c r="K515" s="2" t="s">
        <v>447</v>
      </c>
      <c r="O515" s="3">
        <f t="shared" ref="O515:O578" si="16">Q515+R515</f>
        <v>1.6718000000000002</v>
      </c>
      <c r="P515" s="4">
        <v>0.40899999999999997</v>
      </c>
      <c r="Q515">
        <f t="shared" ref="Q515:Q578" si="17">P515/5</f>
        <v>8.1799999999999998E-2</v>
      </c>
      <c r="R515" s="4">
        <v>1.59</v>
      </c>
      <c r="S515">
        <v>1</v>
      </c>
      <c r="V515">
        <v>1</v>
      </c>
      <c r="W515" s="4">
        <v>1.59</v>
      </c>
      <c r="X515" t="s">
        <v>91</v>
      </c>
      <c r="Y515">
        <v>0.75</v>
      </c>
      <c r="AA515">
        <v>0</v>
      </c>
      <c r="BF515" s="4">
        <v>1295.75</v>
      </c>
      <c r="BG515" s="4"/>
      <c r="BH515" s="4">
        <v>9071</v>
      </c>
    </row>
    <row r="516" spans="6:60" hidden="1">
      <c r="F516" s="2" t="s">
        <v>642</v>
      </c>
      <c r="J516" t="s">
        <v>89</v>
      </c>
      <c r="K516" s="2" t="s">
        <v>447</v>
      </c>
      <c r="O516" s="3">
        <f t="shared" si="16"/>
        <v>2.4077999999999999</v>
      </c>
      <c r="P516" s="4">
        <v>0.38900000000000001</v>
      </c>
      <c r="Q516">
        <f t="shared" si="17"/>
        <v>7.7800000000000008E-2</v>
      </c>
      <c r="R516" s="4">
        <v>2.33</v>
      </c>
      <c r="S516">
        <v>1</v>
      </c>
      <c r="V516">
        <v>1</v>
      </c>
      <c r="W516" s="4">
        <v>2.33</v>
      </c>
      <c r="X516" t="s">
        <v>91</v>
      </c>
      <c r="Y516">
        <v>0.75</v>
      </c>
      <c r="AA516">
        <v>0</v>
      </c>
      <c r="BF516" s="4">
        <v>1332.25</v>
      </c>
      <c r="BG516" s="4"/>
      <c r="BH516" s="4">
        <v>9330</v>
      </c>
    </row>
    <row r="517" spans="6:60" hidden="1">
      <c r="F517" s="2" t="s">
        <v>643</v>
      </c>
      <c r="J517" t="s">
        <v>89</v>
      </c>
      <c r="K517" s="2" t="s">
        <v>447</v>
      </c>
      <c r="O517" s="3">
        <f t="shared" si="16"/>
        <v>1.6054000000000002</v>
      </c>
      <c r="P517" s="4">
        <v>7.6999999999999999E-2</v>
      </c>
      <c r="Q517">
        <f t="shared" si="17"/>
        <v>1.54E-2</v>
      </c>
      <c r="R517" s="4">
        <v>1.59</v>
      </c>
      <c r="S517">
        <v>1</v>
      </c>
      <c r="V517">
        <v>1</v>
      </c>
      <c r="W517" s="4">
        <v>1.59</v>
      </c>
      <c r="X517" t="s">
        <v>91</v>
      </c>
      <c r="Y517">
        <v>0.75</v>
      </c>
      <c r="AA517">
        <v>0</v>
      </c>
      <c r="BF517" s="4">
        <v>784.75</v>
      </c>
      <c r="BG517" s="4"/>
      <c r="BH517" s="4">
        <v>5495</v>
      </c>
    </row>
    <row r="518" spans="6:60" hidden="1">
      <c r="F518" s="2" t="s">
        <v>644</v>
      </c>
      <c r="J518" t="s">
        <v>89</v>
      </c>
      <c r="K518" s="2" t="s">
        <v>447</v>
      </c>
      <c r="O518" s="3">
        <f t="shared" si="16"/>
        <v>2.1278000000000001</v>
      </c>
      <c r="P518" s="4">
        <v>0.33900000000000002</v>
      </c>
      <c r="Q518">
        <f t="shared" si="17"/>
        <v>6.7799999999999999E-2</v>
      </c>
      <c r="R518" s="4">
        <v>2.06</v>
      </c>
      <c r="S518">
        <v>1</v>
      </c>
      <c r="V518">
        <v>1</v>
      </c>
      <c r="W518" s="4">
        <v>2.06</v>
      </c>
      <c r="X518" t="s">
        <v>91</v>
      </c>
      <c r="Y518">
        <v>0.75</v>
      </c>
      <c r="AA518">
        <v>0</v>
      </c>
      <c r="BF518" s="4">
        <v>1405.25</v>
      </c>
      <c r="BG518" s="4"/>
      <c r="BH518" s="4">
        <v>9840</v>
      </c>
    </row>
    <row r="519" spans="6:60" hidden="1">
      <c r="F519" s="2" t="s">
        <v>645</v>
      </c>
      <c r="J519" t="s">
        <v>89</v>
      </c>
      <c r="K519" s="2" t="s">
        <v>447</v>
      </c>
      <c r="O519" s="3">
        <f t="shared" si="16"/>
        <v>2.1722000000000001</v>
      </c>
      <c r="P519" s="4">
        <v>0.33600000000000002</v>
      </c>
      <c r="Q519">
        <f t="shared" si="17"/>
        <v>6.720000000000001E-2</v>
      </c>
      <c r="R519" s="4">
        <v>2.105</v>
      </c>
      <c r="S519">
        <v>1</v>
      </c>
      <c r="V519">
        <v>1</v>
      </c>
      <c r="W519" s="4">
        <v>2.105</v>
      </c>
      <c r="X519" t="s">
        <v>91</v>
      </c>
      <c r="Y519">
        <v>0.75</v>
      </c>
      <c r="AA519">
        <v>0</v>
      </c>
      <c r="BF519" s="4">
        <v>1792.15</v>
      </c>
      <c r="BG519" s="4"/>
      <c r="BH519" s="4">
        <v>12545</v>
      </c>
    </row>
    <row r="520" spans="6:60" hidden="1">
      <c r="F520" s="2" t="s">
        <v>646</v>
      </c>
      <c r="J520" t="s">
        <v>89</v>
      </c>
      <c r="K520" s="2" t="s">
        <v>447</v>
      </c>
      <c r="O520" s="3">
        <f t="shared" si="16"/>
        <v>2.4702000000000002</v>
      </c>
      <c r="P520" s="4">
        <v>0.54100000000000004</v>
      </c>
      <c r="Q520">
        <f t="shared" si="17"/>
        <v>0.1082</v>
      </c>
      <c r="R520" s="4">
        <v>2.3620000000000001</v>
      </c>
      <c r="S520">
        <v>1</v>
      </c>
      <c r="V520">
        <v>1</v>
      </c>
      <c r="W520" s="4">
        <v>2.3620000000000001</v>
      </c>
      <c r="X520" t="s">
        <v>91</v>
      </c>
      <c r="Y520">
        <v>0.75</v>
      </c>
      <c r="AA520">
        <v>0</v>
      </c>
      <c r="BF520" s="4">
        <v>2222.85</v>
      </c>
      <c r="BG520" s="4"/>
      <c r="BH520" s="4">
        <v>15560</v>
      </c>
    </row>
    <row r="521" spans="6:60" hidden="1">
      <c r="F521" s="2" t="s">
        <v>647</v>
      </c>
      <c r="J521" t="s">
        <v>89</v>
      </c>
      <c r="K521" s="2" t="s">
        <v>447</v>
      </c>
      <c r="O521" s="3">
        <f t="shared" si="16"/>
        <v>3.1344000000000003</v>
      </c>
      <c r="P521" s="4">
        <v>0.59699999999999998</v>
      </c>
      <c r="Q521">
        <f t="shared" si="17"/>
        <v>0.11939999999999999</v>
      </c>
      <c r="R521" s="4">
        <v>3.0150000000000001</v>
      </c>
      <c r="S521">
        <v>1</v>
      </c>
      <c r="V521">
        <v>1</v>
      </c>
      <c r="W521" s="4">
        <v>3.0150000000000001</v>
      </c>
      <c r="X521" t="s">
        <v>91</v>
      </c>
      <c r="Y521">
        <v>0.75</v>
      </c>
      <c r="AA521">
        <v>0</v>
      </c>
      <c r="BF521" s="4">
        <v>3201.96</v>
      </c>
      <c r="BG521" s="4"/>
      <c r="BH521" s="4">
        <v>22415</v>
      </c>
    </row>
    <row r="522" spans="6:60" hidden="1">
      <c r="F522" s="2" t="s">
        <v>648</v>
      </c>
      <c r="J522" t="s">
        <v>89</v>
      </c>
      <c r="K522" s="2" t="s">
        <v>447</v>
      </c>
      <c r="O522" s="3">
        <f t="shared" si="16"/>
        <v>2.9466000000000001</v>
      </c>
      <c r="P522" s="4">
        <v>0.36299999999999999</v>
      </c>
      <c r="Q522">
        <f t="shared" si="17"/>
        <v>7.2599999999999998E-2</v>
      </c>
      <c r="R522" s="4">
        <v>2.8740000000000001</v>
      </c>
      <c r="S522">
        <v>1</v>
      </c>
      <c r="V522">
        <v>1</v>
      </c>
      <c r="W522" s="4">
        <v>2.8740000000000001</v>
      </c>
      <c r="X522" t="s">
        <v>91</v>
      </c>
      <c r="Y522">
        <v>0.75</v>
      </c>
      <c r="AA522">
        <v>0</v>
      </c>
      <c r="BF522" s="4">
        <v>2758.3</v>
      </c>
      <c r="BG522" s="4"/>
      <c r="BH522" s="4">
        <v>19310</v>
      </c>
    </row>
    <row r="523" spans="6:60" hidden="1">
      <c r="F523" s="2" t="s">
        <v>649</v>
      </c>
      <c r="J523" t="s">
        <v>89</v>
      </c>
      <c r="K523" s="2" t="s">
        <v>447</v>
      </c>
      <c r="O523" s="3">
        <f t="shared" si="16"/>
        <v>4.6222000000000003</v>
      </c>
      <c r="P523" s="4">
        <v>0.81100000000000005</v>
      </c>
      <c r="Q523">
        <f t="shared" si="17"/>
        <v>0.16220000000000001</v>
      </c>
      <c r="R523" s="4">
        <v>4.46</v>
      </c>
      <c r="S523">
        <v>1</v>
      </c>
      <c r="V523">
        <v>1</v>
      </c>
      <c r="W523" s="4">
        <v>4.46</v>
      </c>
      <c r="X523" t="s">
        <v>91</v>
      </c>
      <c r="Y523">
        <v>0.75</v>
      </c>
      <c r="AA523">
        <v>0</v>
      </c>
      <c r="BF523" s="4">
        <v>4380</v>
      </c>
      <c r="BG523" s="4"/>
      <c r="BH523" s="4">
        <v>30660</v>
      </c>
    </row>
    <row r="524" spans="6:60" hidden="1">
      <c r="F524" s="2" t="s">
        <v>650</v>
      </c>
      <c r="J524" t="s">
        <v>89</v>
      </c>
      <c r="K524" s="2" t="s">
        <v>447</v>
      </c>
      <c r="O524" s="3">
        <f t="shared" si="16"/>
        <v>1.6124000000000001</v>
      </c>
      <c r="P524" s="4">
        <v>9.1999999999999998E-2</v>
      </c>
      <c r="Q524">
        <f t="shared" si="17"/>
        <v>1.84E-2</v>
      </c>
      <c r="R524" s="4">
        <v>1.5940000000000001</v>
      </c>
      <c r="S524">
        <v>1</v>
      </c>
      <c r="V524">
        <v>1</v>
      </c>
      <c r="W524" s="4">
        <v>1.5940000000000001</v>
      </c>
      <c r="X524" t="s">
        <v>91</v>
      </c>
      <c r="Y524">
        <v>0.75</v>
      </c>
      <c r="AA524">
        <v>0</v>
      </c>
      <c r="BF524" s="4">
        <v>885.31</v>
      </c>
      <c r="BG524" s="4"/>
      <c r="BH524" s="4">
        <v>6200</v>
      </c>
    </row>
    <row r="525" spans="6:60" hidden="1">
      <c r="F525" s="2" t="s">
        <v>651</v>
      </c>
      <c r="J525" t="s">
        <v>89</v>
      </c>
      <c r="K525" s="2" t="s">
        <v>447</v>
      </c>
      <c r="O525" s="3">
        <f t="shared" si="16"/>
        <v>5.0960000000000001</v>
      </c>
      <c r="P525" s="4">
        <v>0.68</v>
      </c>
      <c r="Q525">
        <f t="shared" si="17"/>
        <v>0.13600000000000001</v>
      </c>
      <c r="R525" s="4">
        <v>4.96</v>
      </c>
      <c r="S525">
        <v>1</v>
      </c>
      <c r="V525">
        <v>1</v>
      </c>
      <c r="W525" s="4">
        <v>4.96</v>
      </c>
      <c r="X525" t="s">
        <v>91</v>
      </c>
      <c r="Y525">
        <v>0.75</v>
      </c>
      <c r="AA525">
        <v>0</v>
      </c>
      <c r="BF525" s="4">
        <v>2321</v>
      </c>
      <c r="BG525" s="4"/>
      <c r="BH525" s="4">
        <v>16248</v>
      </c>
    </row>
    <row r="526" spans="6:60" hidden="1">
      <c r="F526" s="2" t="s">
        <v>652</v>
      </c>
      <c r="J526" t="s">
        <v>89</v>
      </c>
      <c r="K526" s="2" t="s">
        <v>447</v>
      </c>
      <c r="O526" s="3">
        <f t="shared" si="16"/>
        <v>5.6620000000000008</v>
      </c>
      <c r="P526" s="4">
        <v>1.31</v>
      </c>
      <c r="Q526">
        <f t="shared" si="17"/>
        <v>0.26200000000000001</v>
      </c>
      <c r="R526" s="4">
        <v>5.4</v>
      </c>
      <c r="S526">
        <v>1</v>
      </c>
      <c r="V526">
        <v>1</v>
      </c>
      <c r="W526" s="4">
        <v>5.4</v>
      </c>
      <c r="X526" t="s">
        <v>91</v>
      </c>
      <c r="Y526">
        <v>0.75</v>
      </c>
      <c r="AA526">
        <v>0</v>
      </c>
      <c r="BF526" s="4">
        <v>3589</v>
      </c>
      <c r="BG526" s="4"/>
      <c r="BH526" s="4">
        <v>25115</v>
      </c>
    </row>
    <row r="527" spans="6:60" hidden="1">
      <c r="F527" s="2" t="s">
        <v>653</v>
      </c>
      <c r="J527" t="s">
        <v>89</v>
      </c>
      <c r="K527" s="2" t="s">
        <v>447</v>
      </c>
      <c r="O527" s="3">
        <f t="shared" si="16"/>
        <v>1.978</v>
      </c>
      <c r="P527" s="4">
        <v>0.39</v>
      </c>
      <c r="Q527">
        <f t="shared" si="17"/>
        <v>7.8E-2</v>
      </c>
      <c r="R527" s="4">
        <v>1.9</v>
      </c>
      <c r="S527">
        <v>1</v>
      </c>
      <c r="V527">
        <v>1</v>
      </c>
      <c r="W527" s="4">
        <v>1.9</v>
      </c>
      <c r="X527" t="s">
        <v>91</v>
      </c>
      <c r="Y527">
        <v>0.75</v>
      </c>
      <c r="AA527">
        <v>0</v>
      </c>
      <c r="BF527" s="4">
        <v>2600</v>
      </c>
      <c r="BG527" s="4"/>
      <c r="BH527" s="4">
        <v>18293</v>
      </c>
    </row>
    <row r="528" spans="6:60" hidden="1">
      <c r="F528" s="2" t="s">
        <v>654</v>
      </c>
      <c r="J528" t="s">
        <v>89</v>
      </c>
      <c r="K528" s="2" t="s">
        <v>447</v>
      </c>
      <c r="O528" s="3">
        <f t="shared" si="16"/>
        <v>3.5500000000000003</v>
      </c>
      <c r="P528" s="4">
        <v>0.9</v>
      </c>
      <c r="Q528">
        <f t="shared" si="17"/>
        <v>0.18</v>
      </c>
      <c r="R528" s="4">
        <v>3.37</v>
      </c>
      <c r="S528">
        <v>1</v>
      </c>
      <c r="V528">
        <v>1</v>
      </c>
      <c r="W528" s="4">
        <v>3.37</v>
      </c>
      <c r="X528" t="s">
        <v>91</v>
      </c>
      <c r="Y528">
        <v>0.75</v>
      </c>
      <c r="AA528">
        <v>0</v>
      </c>
      <c r="BF528" s="4">
        <v>9796</v>
      </c>
      <c r="BG528" s="4"/>
      <c r="BH528" s="4">
        <v>68600</v>
      </c>
    </row>
    <row r="529" spans="6:60" hidden="1">
      <c r="F529" s="2" t="s">
        <v>655</v>
      </c>
      <c r="J529" t="s">
        <v>89</v>
      </c>
      <c r="K529" s="2" t="s">
        <v>447</v>
      </c>
      <c r="O529" s="3">
        <f t="shared" si="16"/>
        <v>2.6219999999999999</v>
      </c>
      <c r="P529" s="4">
        <v>0.31</v>
      </c>
      <c r="Q529">
        <f t="shared" si="17"/>
        <v>6.2E-2</v>
      </c>
      <c r="R529" s="4">
        <v>2.56</v>
      </c>
      <c r="S529">
        <v>1</v>
      </c>
      <c r="V529">
        <v>1</v>
      </c>
      <c r="W529" s="4">
        <v>2.56</v>
      </c>
      <c r="X529" t="s">
        <v>91</v>
      </c>
      <c r="Y529">
        <v>0.75</v>
      </c>
      <c r="AA529">
        <v>0</v>
      </c>
      <c r="BF529" s="4">
        <v>2295</v>
      </c>
      <c r="BG529" s="4"/>
      <c r="BH529" s="4">
        <v>16000</v>
      </c>
    </row>
    <row r="530" spans="6:60" hidden="1">
      <c r="F530" s="2" t="s">
        <v>656</v>
      </c>
      <c r="J530" t="s">
        <v>89</v>
      </c>
      <c r="K530" s="2" t="s">
        <v>447</v>
      </c>
      <c r="O530" s="3">
        <f t="shared" si="16"/>
        <v>2.7479999999999998</v>
      </c>
      <c r="P530" s="4">
        <v>0.49</v>
      </c>
      <c r="Q530">
        <f t="shared" si="17"/>
        <v>9.8000000000000004E-2</v>
      </c>
      <c r="R530" s="4">
        <v>2.65</v>
      </c>
      <c r="S530">
        <v>1</v>
      </c>
      <c r="V530">
        <v>1</v>
      </c>
      <c r="W530" s="4">
        <v>2.65</v>
      </c>
      <c r="X530" t="s">
        <v>91</v>
      </c>
      <c r="Y530">
        <v>0.75</v>
      </c>
      <c r="AA530">
        <v>0</v>
      </c>
      <c r="BF530" s="4">
        <v>1748</v>
      </c>
      <c r="BG530" s="4"/>
      <c r="BH530" s="4">
        <v>12300</v>
      </c>
    </row>
    <row r="531" spans="6:60" hidden="1">
      <c r="F531" s="2" t="s">
        <v>657</v>
      </c>
      <c r="J531" t="s">
        <v>89</v>
      </c>
      <c r="K531" s="2" t="s">
        <v>447</v>
      </c>
      <c r="O531" s="3">
        <f t="shared" si="16"/>
        <v>3.67</v>
      </c>
      <c r="P531" s="4">
        <v>0.5</v>
      </c>
      <c r="Q531">
        <f t="shared" si="17"/>
        <v>0.1</v>
      </c>
      <c r="R531" s="4">
        <v>3.57</v>
      </c>
      <c r="S531">
        <v>1</v>
      </c>
      <c r="V531">
        <v>1</v>
      </c>
      <c r="W531" s="4">
        <v>3.57</v>
      </c>
      <c r="X531" t="s">
        <v>91</v>
      </c>
      <c r="Y531">
        <v>0.75</v>
      </c>
      <c r="AA531">
        <v>0</v>
      </c>
      <c r="BF531" s="4">
        <v>6183</v>
      </c>
      <c r="BG531" s="4"/>
      <c r="BH531" s="4">
        <v>43000</v>
      </c>
    </row>
    <row r="532" spans="6:60" hidden="1">
      <c r="F532" s="2" t="s">
        <v>658</v>
      </c>
      <c r="J532" t="s">
        <v>89</v>
      </c>
      <c r="K532" s="2" t="s">
        <v>447</v>
      </c>
      <c r="O532" s="3">
        <f t="shared" si="16"/>
        <v>3.282</v>
      </c>
      <c r="P532" s="4">
        <v>0.46</v>
      </c>
      <c r="Q532">
        <f t="shared" si="17"/>
        <v>9.1999999999999998E-2</v>
      </c>
      <c r="R532" s="4">
        <v>3.19</v>
      </c>
      <c r="S532">
        <v>1</v>
      </c>
      <c r="V532">
        <v>1</v>
      </c>
      <c r="W532" s="4">
        <v>3.19</v>
      </c>
      <c r="X532" t="s">
        <v>91</v>
      </c>
      <c r="Y532">
        <v>0.75</v>
      </c>
      <c r="AA532">
        <v>0</v>
      </c>
      <c r="BF532" s="4">
        <v>157</v>
      </c>
      <c r="BG532" s="4"/>
      <c r="BH532" s="4">
        <v>1099</v>
      </c>
    </row>
    <row r="533" spans="6:60" hidden="1">
      <c r="F533" s="2" t="s">
        <v>659</v>
      </c>
      <c r="J533" t="s">
        <v>89</v>
      </c>
      <c r="K533" s="2" t="s">
        <v>447</v>
      </c>
      <c r="O533" s="3">
        <f t="shared" si="16"/>
        <v>5.28</v>
      </c>
      <c r="P533" s="4">
        <v>0.65</v>
      </c>
      <c r="Q533">
        <f t="shared" si="17"/>
        <v>0.13</v>
      </c>
      <c r="R533" s="4">
        <v>5.15</v>
      </c>
      <c r="S533">
        <v>1</v>
      </c>
      <c r="V533">
        <v>1</v>
      </c>
      <c r="W533" s="4">
        <v>5.15</v>
      </c>
      <c r="X533" t="s">
        <v>91</v>
      </c>
      <c r="Y533">
        <v>0.75</v>
      </c>
      <c r="AA533">
        <v>0</v>
      </c>
      <c r="BF533" s="4">
        <v>3145</v>
      </c>
      <c r="BG533" s="4"/>
      <c r="BH533" s="4">
        <v>22020</v>
      </c>
    </row>
    <row r="534" spans="6:60" hidden="1">
      <c r="F534" s="2" t="s">
        <v>660</v>
      </c>
      <c r="J534" t="s">
        <v>89</v>
      </c>
      <c r="K534" s="2" t="s">
        <v>447</v>
      </c>
      <c r="O534" s="3">
        <f t="shared" si="16"/>
        <v>3.306</v>
      </c>
      <c r="P534" s="4">
        <v>0.63</v>
      </c>
      <c r="Q534">
        <f t="shared" si="17"/>
        <v>0.126</v>
      </c>
      <c r="R534" s="4">
        <v>3.18</v>
      </c>
      <c r="S534">
        <v>1</v>
      </c>
      <c r="V534">
        <v>1</v>
      </c>
      <c r="W534" s="4">
        <v>3.18</v>
      </c>
      <c r="X534" t="s">
        <v>91</v>
      </c>
      <c r="Y534">
        <v>0.75</v>
      </c>
      <c r="AA534">
        <v>0</v>
      </c>
      <c r="BF534" s="4">
        <v>1993</v>
      </c>
      <c r="BG534" s="4"/>
      <c r="BH534" s="4">
        <v>13950</v>
      </c>
    </row>
    <row r="535" spans="6:60" hidden="1">
      <c r="F535" s="2" t="s">
        <v>661</v>
      </c>
      <c r="J535" t="s">
        <v>89</v>
      </c>
      <c r="K535" s="2" t="s">
        <v>447</v>
      </c>
      <c r="O535" s="3">
        <f t="shared" si="16"/>
        <v>5.25</v>
      </c>
      <c r="P535" s="4">
        <v>1.1499999999999999</v>
      </c>
      <c r="Q535">
        <f t="shared" si="17"/>
        <v>0.22999999999999998</v>
      </c>
      <c r="R535" s="4">
        <v>5.0199999999999996</v>
      </c>
      <c r="S535">
        <v>1</v>
      </c>
      <c r="V535">
        <v>1</v>
      </c>
      <c r="W535" s="4">
        <v>5.0199999999999996</v>
      </c>
      <c r="X535" t="s">
        <v>91</v>
      </c>
      <c r="Y535">
        <v>0.75</v>
      </c>
      <c r="AA535">
        <v>0</v>
      </c>
      <c r="BF535" s="4">
        <v>3834</v>
      </c>
      <c r="BG535" s="4"/>
      <c r="BH535" s="4">
        <v>26000</v>
      </c>
    </row>
    <row r="536" spans="6:60" hidden="1">
      <c r="F536" s="2" t="s">
        <v>662</v>
      </c>
      <c r="J536" t="s">
        <v>89</v>
      </c>
      <c r="K536" s="2" t="s">
        <v>447</v>
      </c>
      <c r="O536" s="3">
        <f t="shared" si="16"/>
        <v>6.4640000000000004</v>
      </c>
      <c r="P536" s="4">
        <v>1.17</v>
      </c>
      <c r="Q536">
        <f t="shared" si="17"/>
        <v>0.23399999999999999</v>
      </c>
      <c r="R536" s="4">
        <v>6.23</v>
      </c>
      <c r="S536">
        <v>1</v>
      </c>
      <c r="V536">
        <v>1</v>
      </c>
      <c r="W536" s="4">
        <v>6.23</v>
      </c>
      <c r="X536" t="s">
        <v>91</v>
      </c>
      <c r="Y536">
        <v>0.75</v>
      </c>
      <c r="AA536">
        <v>0</v>
      </c>
      <c r="BF536" s="4">
        <v>3950</v>
      </c>
      <c r="BG536" s="4"/>
      <c r="BH536" s="4">
        <v>27650</v>
      </c>
    </row>
    <row r="537" spans="6:60" hidden="1">
      <c r="F537" s="2" t="s">
        <v>663</v>
      </c>
      <c r="J537" t="s">
        <v>89</v>
      </c>
      <c r="K537" s="2" t="s">
        <v>447</v>
      </c>
      <c r="O537" s="3">
        <f t="shared" si="16"/>
        <v>3.9140000000000001</v>
      </c>
      <c r="P537" s="4">
        <v>0.32</v>
      </c>
      <c r="Q537">
        <f t="shared" si="17"/>
        <v>6.4000000000000001E-2</v>
      </c>
      <c r="R537" s="4">
        <v>3.85</v>
      </c>
      <c r="S537">
        <v>1</v>
      </c>
      <c r="V537">
        <v>1</v>
      </c>
      <c r="W537" s="4">
        <v>3.85</v>
      </c>
      <c r="X537" t="s">
        <v>91</v>
      </c>
      <c r="Y537">
        <v>0.75</v>
      </c>
      <c r="AA537">
        <v>0</v>
      </c>
      <c r="BF537" s="4">
        <v>3047.41</v>
      </c>
      <c r="BG537" s="4"/>
      <c r="BH537" s="4">
        <v>21331.89</v>
      </c>
    </row>
    <row r="538" spans="6:60" hidden="1">
      <c r="F538" s="2" t="s">
        <v>664</v>
      </c>
      <c r="J538" t="s">
        <v>89</v>
      </c>
      <c r="K538" s="2" t="s">
        <v>447</v>
      </c>
      <c r="O538" s="3">
        <f t="shared" si="16"/>
        <v>4.32</v>
      </c>
      <c r="P538" s="4">
        <v>0.55000000000000004</v>
      </c>
      <c r="Q538">
        <f t="shared" si="17"/>
        <v>0.11000000000000001</v>
      </c>
      <c r="R538" s="4">
        <v>4.21</v>
      </c>
      <c r="S538">
        <v>1</v>
      </c>
      <c r="V538">
        <v>1</v>
      </c>
      <c r="W538" s="4">
        <v>4.21</v>
      </c>
      <c r="X538" t="s">
        <v>91</v>
      </c>
      <c r="Y538">
        <v>0.75</v>
      </c>
      <c r="AA538">
        <v>0</v>
      </c>
      <c r="BF538" s="4">
        <v>2748</v>
      </c>
      <c r="BG538" s="4"/>
      <c r="BH538" s="4">
        <v>19200</v>
      </c>
    </row>
    <row r="539" spans="6:60" hidden="1">
      <c r="F539" s="2" t="s">
        <v>665</v>
      </c>
      <c r="J539" t="s">
        <v>89</v>
      </c>
      <c r="K539" s="2" t="s">
        <v>447</v>
      </c>
      <c r="O539" s="3">
        <f t="shared" si="16"/>
        <v>4.0339999999999998</v>
      </c>
      <c r="P539" s="4">
        <v>0.56999999999999995</v>
      </c>
      <c r="Q539">
        <f t="shared" si="17"/>
        <v>0.11399999999999999</v>
      </c>
      <c r="R539" s="4">
        <v>3.92</v>
      </c>
      <c r="S539">
        <v>1</v>
      </c>
      <c r="V539">
        <v>1</v>
      </c>
      <c r="W539" s="4">
        <v>3.92</v>
      </c>
      <c r="X539" t="s">
        <v>91</v>
      </c>
      <c r="Y539">
        <v>0.75</v>
      </c>
      <c r="AA539">
        <v>0</v>
      </c>
      <c r="BF539" s="4">
        <v>2664</v>
      </c>
      <c r="BG539" s="4"/>
      <c r="BH539" s="4">
        <v>18650</v>
      </c>
    </row>
    <row r="540" spans="6:60" hidden="1">
      <c r="F540" s="2" t="s">
        <v>666</v>
      </c>
      <c r="J540" t="s">
        <v>89</v>
      </c>
      <c r="K540" s="2" t="s">
        <v>447</v>
      </c>
      <c r="O540" s="3">
        <f t="shared" si="16"/>
        <v>2.92</v>
      </c>
      <c r="P540" s="4">
        <v>0.6</v>
      </c>
      <c r="Q540">
        <f t="shared" si="17"/>
        <v>0.12</v>
      </c>
      <c r="R540" s="4">
        <v>2.8</v>
      </c>
      <c r="S540">
        <v>1</v>
      </c>
      <c r="V540">
        <v>1</v>
      </c>
      <c r="W540" s="4">
        <v>2.8</v>
      </c>
      <c r="X540" t="s">
        <v>91</v>
      </c>
      <c r="Y540">
        <v>0.75</v>
      </c>
      <c r="AA540">
        <v>0</v>
      </c>
      <c r="BF540" s="4">
        <v>2511.1999999999998</v>
      </c>
      <c r="BG540" s="4"/>
      <c r="BH540" s="4">
        <v>17578.400000000001</v>
      </c>
    </row>
    <row r="541" spans="6:60" hidden="1">
      <c r="F541" s="2" t="s">
        <v>667</v>
      </c>
      <c r="J541" t="s">
        <v>89</v>
      </c>
      <c r="K541" s="2" t="s">
        <v>447</v>
      </c>
      <c r="O541" s="3">
        <f t="shared" si="16"/>
        <v>2.67</v>
      </c>
      <c r="P541" s="4">
        <v>1.05</v>
      </c>
      <c r="Q541">
        <f t="shared" si="17"/>
        <v>0.21000000000000002</v>
      </c>
      <c r="R541" s="4">
        <v>2.46</v>
      </c>
      <c r="S541">
        <v>1</v>
      </c>
      <c r="V541">
        <v>1</v>
      </c>
      <c r="W541" s="4">
        <v>2.46</v>
      </c>
      <c r="X541" t="s">
        <v>91</v>
      </c>
      <c r="Y541">
        <v>0.75</v>
      </c>
      <c r="AA541">
        <v>0</v>
      </c>
      <c r="BF541" s="4">
        <v>2084.15</v>
      </c>
      <c r="BG541" s="4"/>
      <c r="BH541" s="4">
        <v>14589.05</v>
      </c>
    </row>
    <row r="542" spans="6:60" hidden="1">
      <c r="F542" s="2" t="s">
        <v>668</v>
      </c>
      <c r="J542" t="s">
        <v>89</v>
      </c>
      <c r="K542" s="2" t="s">
        <v>447</v>
      </c>
      <c r="O542" s="3">
        <f t="shared" si="16"/>
        <v>2.0819999999999999</v>
      </c>
      <c r="P542" s="4">
        <v>1.01</v>
      </c>
      <c r="Q542">
        <f t="shared" si="17"/>
        <v>0.20200000000000001</v>
      </c>
      <c r="R542" s="4">
        <v>1.88</v>
      </c>
      <c r="S542">
        <v>1</v>
      </c>
      <c r="V542">
        <v>1</v>
      </c>
      <c r="W542" s="4">
        <v>1.88</v>
      </c>
      <c r="X542" t="s">
        <v>91</v>
      </c>
      <c r="Y542">
        <v>0.75</v>
      </c>
      <c r="AA542">
        <v>0</v>
      </c>
      <c r="BF542" s="4">
        <v>2635</v>
      </c>
      <c r="BG542" s="4"/>
      <c r="BH542" s="4">
        <v>18500</v>
      </c>
    </row>
    <row r="543" spans="6:60" hidden="1">
      <c r="F543" s="2" t="s">
        <v>669</v>
      </c>
      <c r="J543" t="s">
        <v>89</v>
      </c>
      <c r="K543" s="2" t="s">
        <v>447</v>
      </c>
      <c r="O543" s="3">
        <f t="shared" si="16"/>
        <v>2.57</v>
      </c>
      <c r="P543" s="4">
        <v>0.2</v>
      </c>
      <c r="Q543">
        <f t="shared" si="17"/>
        <v>0.04</v>
      </c>
      <c r="R543" s="4">
        <v>2.5299999999999998</v>
      </c>
      <c r="S543">
        <v>1</v>
      </c>
      <c r="V543">
        <v>1</v>
      </c>
      <c r="W543" s="4">
        <v>2.5299999999999998</v>
      </c>
      <c r="X543" t="s">
        <v>91</v>
      </c>
      <c r="Y543">
        <v>0.75</v>
      </c>
      <c r="AA543">
        <v>0</v>
      </c>
      <c r="BF543" s="4">
        <v>1390</v>
      </c>
      <c r="BG543" s="4"/>
      <c r="BH543" s="4">
        <v>9700</v>
      </c>
    </row>
    <row r="544" spans="6:60" hidden="1">
      <c r="F544" s="2" t="s">
        <v>670</v>
      </c>
      <c r="J544" t="s">
        <v>89</v>
      </c>
      <c r="K544" s="2" t="s">
        <v>447</v>
      </c>
      <c r="O544" s="3">
        <f t="shared" si="16"/>
        <v>2.5379999999999998</v>
      </c>
      <c r="P544" s="4">
        <v>0.59</v>
      </c>
      <c r="Q544">
        <f t="shared" si="17"/>
        <v>0.11799999999999999</v>
      </c>
      <c r="R544" s="4">
        <v>2.42</v>
      </c>
      <c r="S544">
        <v>1</v>
      </c>
      <c r="V544">
        <v>1</v>
      </c>
      <c r="W544" s="4">
        <v>2.42</v>
      </c>
      <c r="X544" t="s">
        <v>91</v>
      </c>
      <c r="Y544">
        <v>0.75</v>
      </c>
      <c r="AA544">
        <v>0</v>
      </c>
      <c r="BF544" s="4">
        <v>2502</v>
      </c>
      <c r="BG544" s="4"/>
      <c r="BH544" s="4">
        <v>17500</v>
      </c>
    </row>
    <row r="545" spans="6:60" hidden="1">
      <c r="F545" s="2" t="s">
        <v>671</v>
      </c>
      <c r="J545" t="s">
        <v>89</v>
      </c>
      <c r="K545" s="2" t="s">
        <v>447</v>
      </c>
      <c r="O545" s="3">
        <f t="shared" si="16"/>
        <v>3.004</v>
      </c>
      <c r="P545" s="4">
        <v>0.52</v>
      </c>
      <c r="Q545">
        <f t="shared" si="17"/>
        <v>0.10400000000000001</v>
      </c>
      <c r="R545" s="4">
        <v>2.9</v>
      </c>
      <c r="S545">
        <v>1</v>
      </c>
      <c r="V545">
        <v>1</v>
      </c>
      <c r="W545" s="4">
        <v>2.9</v>
      </c>
      <c r="X545" t="s">
        <v>91</v>
      </c>
      <c r="Y545">
        <v>0.75</v>
      </c>
      <c r="AA545">
        <v>0</v>
      </c>
      <c r="BF545" s="4">
        <v>4067</v>
      </c>
      <c r="BG545" s="4"/>
      <c r="BH545" s="4">
        <v>28500</v>
      </c>
    </row>
    <row r="546" spans="6:60" hidden="1">
      <c r="F546" s="2" t="s">
        <v>672</v>
      </c>
      <c r="J546" t="s">
        <v>89</v>
      </c>
      <c r="K546" s="2" t="s">
        <v>447</v>
      </c>
      <c r="O546" s="3">
        <f t="shared" si="16"/>
        <v>3.21</v>
      </c>
      <c r="P546" s="4">
        <v>2</v>
      </c>
      <c r="Q546">
        <f t="shared" si="17"/>
        <v>0.4</v>
      </c>
      <c r="R546" s="4">
        <v>2.81</v>
      </c>
      <c r="S546">
        <v>1</v>
      </c>
      <c r="V546">
        <v>1</v>
      </c>
      <c r="W546" s="4">
        <v>2.81</v>
      </c>
      <c r="X546" t="s">
        <v>91</v>
      </c>
      <c r="Y546">
        <v>0.75</v>
      </c>
      <c r="AA546">
        <v>0</v>
      </c>
      <c r="BF546" s="4">
        <v>5977</v>
      </c>
      <c r="BG546" s="4"/>
      <c r="BH546" s="4">
        <v>41839</v>
      </c>
    </row>
    <row r="547" spans="6:60" hidden="1">
      <c r="F547" s="2" t="s">
        <v>673</v>
      </c>
      <c r="J547" t="s">
        <v>89</v>
      </c>
      <c r="K547" s="2" t="s">
        <v>447</v>
      </c>
      <c r="O547" s="3">
        <f t="shared" si="16"/>
        <v>1.6854</v>
      </c>
      <c r="P547" s="4">
        <v>0.17199999999999999</v>
      </c>
      <c r="Q547">
        <f t="shared" si="17"/>
        <v>3.44E-2</v>
      </c>
      <c r="R547" s="4">
        <v>1.651</v>
      </c>
      <c r="S547">
        <v>1</v>
      </c>
      <c r="V547">
        <v>1</v>
      </c>
      <c r="W547" s="4">
        <v>1.651</v>
      </c>
      <c r="X547" t="s">
        <v>91</v>
      </c>
      <c r="Y547">
        <v>0.75</v>
      </c>
      <c r="AA547">
        <v>0</v>
      </c>
      <c r="BF547" s="4">
        <v>1120.19</v>
      </c>
      <c r="BG547" s="4"/>
      <c r="BH547" s="4">
        <v>7841.33</v>
      </c>
    </row>
    <row r="548" spans="6:60" hidden="1">
      <c r="F548" s="2" t="s">
        <v>674</v>
      </c>
      <c r="J548" t="s">
        <v>89</v>
      </c>
      <c r="K548" s="2" t="s">
        <v>447</v>
      </c>
      <c r="O548" s="3">
        <f t="shared" si="16"/>
        <v>5.3701999999999996</v>
      </c>
      <c r="P548" s="4">
        <v>1.151</v>
      </c>
      <c r="Q548">
        <f t="shared" si="17"/>
        <v>0.23020000000000002</v>
      </c>
      <c r="R548" s="4">
        <v>5.14</v>
      </c>
      <c r="S548">
        <v>1</v>
      </c>
      <c r="V548">
        <v>1</v>
      </c>
      <c r="W548" s="4">
        <v>5.14</v>
      </c>
      <c r="X548" t="s">
        <v>91</v>
      </c>
      <c r="Y548">
        <v>0.75</v>
      </c>
      <c r="AA548">
        <v>0</v>
      </c>
      <c r="BF548" s="4">
        <v>4675</v>
      </c>
      <c r="BG548" s="4"/>
      <c r="BH548" s="4">
        <v>32725</v>
      </c>
    </row>
    <row r="549" spans="6:60" hidden="1">
      <c r="F549" s="2" t="s">
        <v>675</v>
      </c>
      <c r="J549" t="s">
        <v>89</v>
      </c>
      <c r="K549" s="2" t="s">
        <v>447</v>
      </c>
      <c r="O549" s="3">
        <f t="shared" si="16"/>
        <v>3.9598</v>
      </c>
      <c r="P549" s="4">
        <v>0.70899999999999996</v>
      </c>
      <c r="Q549">
        <f t="shared" si="17"/>
        <v>0.14179999999999998</v>
      </c>
      <c r="R549" s="4">
        <v>3.8180000000000001</v>
      </c>
      <c r="S549">
        <v>1</v>
      </c>
      <c r="V549">
        <v>1</v>
      </c>
      <c r="W549" s="4">
        <v>3.8180000000000001</v>
      </c>
      <c r="X549" t="s">
        <v>91</v>
      </c>
      <c r="Y549">
        <v>0.75</v>
      </c>
      <c r="AA549">
        <v>0</v>
      </c>
      <c r="BF549" s="4">
        <v>2762</v>
      </c>
      <c r="BG549" s="4"/>
      <c r="BH549" s="4">
        <v>19334</v>
      </c>
    </row>
    <row r="550" spans="6:60" hidden="1">
      <c r="F550" s="2" t="s">
        <v>676</v>
      </c>
      <c r="J550" t="s">
        <v>89</v>
      </c>
      <c r="K550" s="2" t="s">
        <v>447</v>
      </c>
      <c r="O550" s="3">
        <f t="shared" si="16"/>
        <v>2.4891999999999999</v>
      </c>
      <c r="P550" s="4">
        <v>0.44600000000000001</v>
      </c>
      <c r="Q550">
        <f t="shared" si="17"/>
        <v>8.9200000000000002E-2</v>
      </c>
      <c r="R550" s="4">
        <v>2.4</v>
      </c>
      <c r="S550">
        <v>1</v>
      </c>
      <c r="V550">
        <v>1</v>
      </c>
      <c r="W550" s="4">
        <v>2.4</v>
      </c>
      <c r="X550" t="s">
        <v>91</v>
      </c>
      <c r="Y550">
        <v>0.75</v>
      </c>
      <c r="AA550">
        <v>0</v>
      </c>
      <c r="BF550" s="4">
        <v>2164</v>
      </c>
      <c r="BG550" s="4"/>
      <c r="BH550" s="4">
        <v>15148</v>
      </c>
    </row>
    <row r="551" spans="6:60" hidden="1">
      <c r="F551" s="2" t="s">
        <v>677</v>
      </c>
      <c r="J551" t="s">
        <v>89</v>
      </c>
      <c r="K551" s="2" t="s">
        <v>447</v>
      </c>
      <c r="O551" s="3">
        <f t="shared" si="16"/>
        <v>4.72</v>
      </c>
      <c r="P551" s="4">
        <v>0.4</v>
      </c>
      <c r="Q551">
        <f t="shared" si="17"/>
        <v>0.08</v>
      </c>
      <c r="R551" s="4">
        <v>4.6399999999999997</v>
      </c>
      <c r="S551">
        <v>1</v>
      </c>
      <c r="V551">
        <v>1</v>
      </c>
      <c r="W551" s="4">
        <v>4.6399999999999997</v>
      </c>
      <c r="X551" t="s">
        <v>91</v>
      </c>
      <c r="Y551">
        <v>0.75</v>
      </c>
      <c r="AA551">
        <v>0</v>
      </c>
      <c r="BF551" s="4">
        <v>1870</v>
      </c>
      <c r="BG551" s="4"/>
      <c r="BH551" s="4">
        <v>13090</v>
      </c>
    </row>
    <row r="552" spans="6:60" hidden="1">
      <c r="F552" s="2" t="s">
        <v>678</v>
      </c>
      <c r="J552" t="s">
        <v>89</v>
      </c>
      <c r="K552" s="2" t="s">
        <v>447</v>
      </c>
      <c r="O552" s="3">
        <f t="shared" si="16"/>
        <v>1.792</v>
      </c>
      <c r="P552" s="4">
        <v>0.31</v>
      </c>
      <c r="Q552">
        <f t="shared" si="17"/>
        <v>6.2E-2</v>
      </c>
      <c r="R552" s="4">
        <v>1.73</v>
      </c>
      <c r="S552">
        <v>1</v>
      </c>
      <c r="V552">
        <v>1</v>
      </c>
      <c r="W552" s="4">
        <v>1.73</v>
      </c>
      <c r="X552" t="s">
        <v>91</v>
      </c>
      <c r="Y552">
        <v>0.75</v>
      </c>
      <c r="AA552">
        <v>0</v>
      </c>
      <c r="BF552" s="4">
        <v>990</v>
      </c>
      <c r="BG552" s="4"/>
      <c r="BH552" s="4">
        <v>7000</v>
      </c>
    </row>
    <row r="553" spans="6:60" hidden="1">
      <c r="F553" s="2" t="s">
        <v>679</v>
      </c>
      <c r="J553" t="s">
        <v>89</v>
      </c>
      <c r="K553" s="2" t="s">
        <v>447</v>
      </c>
      <c r="O553" s="3">
        <f t="shared" si="16"/>
        <v>1.83</v>
      </c>
      <c r="P553" s="4">
        <v>0.35</v>
      </c>
      <c r="Q553">
        <f t="shared" si="17"/>
        <v>6.9999999999999993E-2</v>
      </c>
      <c r="R553" s="4">
        <v>1.76</v>
      </c>
      <c r="S553">
        <v>1</v>
      </c>
      <c r="V553">
        <v>1</v>
      </c>
      <c r="W553" s="4">
        <v>1.76</v>
      </c>
      <c r="X553" t="s">
        <v>91</v>
      </c>
      <c r="Y553">
        <v>0.75</v>
      </c>
      <c r="AA553">
        <v>0</v>
      </c>
      <c r="BF553" s="4">
        <v>485.45</v>
      </c>
      <c r="BG553" s="4"/>
      <c r="BH553" s="4">
        <v>3400</v>
      </c>
    </row>
    <row r="554" spans="6:60" hidden="1">
      <c r="F554" s="2" t="s">
        <v>680</v>
      </c>
      <c r="J554" t="s">
        <v>89</v>
      </c>
      <c r="K554" s="2" t="s">
        <v>447</v>
      </c>
      <c r="O554" s="3">
        <f t="shared" si="16"/>
        <v>2.8660000000000001</v>
      </c>
      <c r="P554" s="4">
        <v>0.28000000000000003</v>
      </c>
      <c r="Q554">
        <f t="shared" si="17"/>
        <v>5.6000000000000008E-2</v>
      </c>
      <c r="R554" s="4">
        <v>2.81</v>
      </c>
      <c r="S554">
        <v>1</v>
      </c>
      <c r="V554">
        <v>1</v>
      </c>
      <c r="W554" s="4">
        <v>2.81</v>
      </c>
      <c r="X554" t="s">
        <v>91</v>
      </c>
      <c r="Y554">
        <v>0.75</v>
      </c>
      <c r="AA554">
        <v>0</v>
      </c>
      <c r="BF554" s="4">
        <v>759.2</v>
      </c>
      <c r="BG554" s="4"/>
      <c r="BH554" s="4">
        <v>5315</v>
      </c>
    </row>
    <row r="555" spans="6:60" hidden="1">
      <c r="F555" s="2" t="s">
        <v>681</v>
      </c>
      <c r="J555" t="s">
        <v>89</v>
      </c>
      <c r="K555" s="2" t="s">
        <v>447</v>
      </c>
      <c r="O555" s="3">
        <f t="shared" si="16"/>
        <v>2.1320000000000001</v>
      </c>
      <c r="P555" s="4">
        <v>0.46</v>
      </c>
      <c r="Q555">
        <f t="shared" si="17"/>
        <v>9.1999999999999998E-2</v>
      </c>
      <c r="R555" s="4">
        <v>2.04</v>
      </c>
      <c r="S555">
        <v>1</v>
      </c>
      <c r="V555">
        <v>1</v>
      </c>
      <c r="W555" s="4">
        <v>2.04</v>
      </c>
      <c r="X555" t="s">
        <v>91</v>
      </c>
      <c r="Y555">
        <v>0.75</v>
      </c>
      <c r="AA555">
        <v>0</v>
      </c>
      <c r="BF555" s="4">
        <v>602.25</v>
      </c>
      <c r="BG555" s="4"/>
      <c r="BH555" s="4">
        <v>4216</v>
      </c>
    </row>
    <row r="556" spans="6:60" hidden="1">
      <c r="F556" s="2" t="s">
        <v>682</v>
      </c>
      <c r="J556" t="s">
        <v>89</v>
      </c>
      <c r="K556" s="2" t="s">
        <v>447</v>
      </c>
      <c r="O556" s="3">
        <f t="shared" si="16"/>
        <v>2.4279999999999999</v>
      </c>
      <c r="P556" s="4">
        <v>0.14000000000000001</v>
      </c>
      <c r="Q556">
        <f t="shared" si="17"/>
        <v>2.8000000000000004E-2</v>
      </c>
      <c r="R556" s="4">
        <v>2.4</v>
      </c>
      <c r="S556">
        <v>1</v>
      </c>
      <c r="V556">
        <v>1</v>
      </c>
      <c r="W556" s="4">
        <v>2.4</v>
      </c>
      <c r="X556" t="s">
        <v>91</v>
      </c>
      <c r="Y556">
        <v>0.75</v>
      </c>
      <c r="AA556">
        <v>0</v>
      </c>
      <c r="BF556" s="4">
        <v>584</v>
      </c>
      <c r="BG556" s="4"/>
      <c r="BH556" s="4">
        <v>4088</v>
      </c>
    </row>
    <row r="557" spans="6:60" hidden="1">
      <c r="F557" s="2" t="s">
        <v>683</v>
      </c>
      <c r="J557" t="s">
        <v>89</v>
      </c>
      <c r="K557" s="2" t="s">
        <v>447</v>
      </c>
      <c r="O557" s="3">
        <f t="shared" si="16"/>
        <v>2.2119999999999997</v>
      </c>
      <c r="P557" s="4">
        <v>0.41</v>
      </c>
      <c r="Q557">
        <f t="shared" si="17"/>
        <v>8.199999999999999E-2</v>
      </c>
      <c r="R557" s="4">
        <v>2.13</v>
      </c>
      <c r="S557">
        <v>1</v>
      </c>
      <c r="V557">
        <v>1</v>
      </c>
      <c r="W557" s="4">
        <v>2.13</v>
      </c>
      <c r="X557" t="s">
        <v>91</v>
      </c>
      <c r="Y557">
        <v>0.75</v>
      </c>
      <c r="AA557">
        <v>0</v>
      </c>
      <c r="BF557" s="4">
        <v>722.7</v>
      </c>
      <c r="BG557" s="4"/>
      <c r="BH557" s="4">
        <v>5060</v>
      </c>
    </row>
    <row r="558" spans="6:60" hidden="1">
      <c r="F558" s="2" t="s">
        <v>684</v>
      </c>
      <c r="J558" t="s">
        <v>89</v>
      </c>
      <c r="K558" s="2" t="s">
        <v>447</v>
      </c>
      <c r="O558" s="3">
        <f t="shared" si="16"/>
        <v>1.85</v>
      </c>
      <c r="P558" s="4">
        <v>0.2</v>
      </c>
      <c r="Q558">
        <f t="shared" si="17"/>
        <v>0.04</v>
      </c>
      <c r="R558" s="4">
        <v>1.81</v>
      </c>
      <c r="S558">
        <v>1</v>
      </c>
      <c r="V558">
        <v>1</v>
      </c>
      <c r="W558" s="4">
        <v>1.81</v>
      </c>
      <c r="X558" t="s">
        <v>91</v>
      </c>
      <c r="Y558">
        <v>0.75</v>
      </c>
      <c r="AA558">
        <v>0</v>
      </c>
      <c r="BF558" s="4">
        <v>521.95000000000005</v>
      </c>
      <c r="BG558" s="4"/>
      <c r="BH558" s="4">
        <v>3655</v>
      </c>
    </row>
    <row r="559" spans="6:60" hidden="1">
      <c r="F559" s="2" t="s">
        <v>685</v>
      </c>
      <c r="J559" t="s">
        <v>89</v>
      </c>
      <c r="K559" s="2" t="s">
        <v>447</v>
      </c>
      <c r="O559" s="3">
        <f t="shared" si="16"/>
        <v>1.6140000000000001</v>
      </c>
      <c r="P559" s="4">
        <v>0.32</v>
      </c>
      <c r="Q559">
        <f t="shared" si="17"/>
        <v>6.4000000000000001E-2</v>
      </c>
      <c r="R559" s="4">
        <v>1.55</v>
      </c>
      <c r="S559">
        <v>1</v>
      </c>
      <c r="V559">
        <v>1</v>
      </c>
      <c r="W559" s="4">
        <v>1.55</v>
      </c>
      <c r="X559" t="s">
        <v>91</v>
      </c>
      <c r="Y559">
        <v>0.75</v>
      </c>
      <c r="AA559">
        <v>0</v>
      </c>
      <c r="BF559" s="4">
        <v>485.45</v>
      </c>
      <c r="BG559" s="4"/>
      <c r="BH559" s="4">
        <v>3400</v>
      </c>
    </row>
    <row r="560" spans="6:60" hidden="1">
      <c r="F560" s="2" t="s">
        <v>686</v>
      </c>
      <c r="J560" t="s">
        <v>89</v>
      </c>
      <c r="K560" s="2" t="s">
        <v>447</v>
      </c>
      <c r="O560" s="3">
        <f t="shared" si="16"/>
        <v>2.0399999999999996</v>
      </c>
      <c r="P560" s="4">
        <v>0.15</v>
      </c>
      <c r="Q560">
        <f t="shared" si="17"/>
        <v>0.03</v>
      </c>
      <c r="R560" s="4">
        <v>2.0099999999999998</v>
      </c>
      <c r="S560">
        <v>1</v>
      </c>
      <c r="V560">
        <v>1</v>
      </c>
      <c r="W560" s="4">
        <v>2.0099999999999998</v>
      </c>
      <c r="X560" t="s">
        <v>91</v>
      </c>
      <c r="Y560">
        <v>0.75</v>
      </c>
      <c r="AA560">
        <v>0</v>
      </c>
      <c r="BF560" s="4">
        <v>503.7</v>
      </c>
      <c r="BG560" s="4"/>
      <c r="BH560" s="4">
        <v>3526</v>
      </c>
    </row>
    <row r="561" spans="6:60" hidden="1">
      <c r="F561" s="2" t="s">
        <v>687</v>
      </c>
      <c r="J561" t="s">
        <v>89</v>
      </c>
      <c r="K561" s="2" t="s">
        <v>447</v>
      </c>
      <c r="O561" s="3">
        <f t="shared" si="16"/>
        <v>2.09</v>
      </c>
      <c r="P561" s="4">
        <v>0.15</v>
      </c>
      <c r="Q561">
        <f t="shared" si="17"/>
        <v>0.03</v>
      </c>
      <c r="R561" s="4">
        <v>2.06</v>
      </c>
      <c r="S561">
        <v>1</v>
      </c>
      <c r="V561">
        <v>1</v>
      </c>
      <c r="W561" s="4">
        <v>2.06</v>
      </c>
      <c r="X561" t="s">
        <v>91</v>
      </c>
      <c r="Y561">
        <v>0.75</v>
      </c>
      <c r="AA561">
        <v>0</v>
      </c>
      <c r="BF561" s="4">
        <v>547.5</v>
      </c>
      <c r="BG561" s="4"/>
      <c r="BH561" s="4">
        <v>3833</v>
      </c>
    </row>
    <row r="562" spans="6:60" hidden="1">
      <c r="F562" s="2" t="s">
        <v>688</v>
      </c>
      <c r="J562" t="s">
        <v>89</v>
      </c>
      <c r="K562" s="2" t="s">
        <v>447</v>
      </c>
      <c r="O562" s="3">
        <f t="shared" si="16"/>
        <v>1.83</v>
      </c>
      <c r="P562" s="4">
        <v>0.35</v>
      </c>
      <c r="Q562">
        <f t="shared" si="17"/>
        <v>6.9999999999999993E-2</v>
      </c>
      <c r="R562" s="4">
        <v>1.76</v>
      </c>
      <c r="S562">
        <v>1</v>
      </c>
      <c r="V562">
        <v>1</v>
      </c>
      <c r="W562" s="4">
        <v>1.76</v>
      </c>
      <c r="X562" t="s">
        <v>91</v>
      </c>
      <c r="Y562">
        <v>0.75</v>
      </c>
      <c r="AA562">
        <v>0</v>
      </c>
      <c r="BF562" s="4">
        <v>967.25</v>
      </c>
      <c r="BG562" s="4"/>
      <c r="BH562" s="4">
        <v>6771</v>
      </c>
    </row>
    <row r="563" spans="6:60" hidden="1">
      <c r="F563" s="2" t="s">
        <v>689</v>
      </c>
      <c r="J563" t="s">
        <v>89</v>
      </c>
      <c r="K563" s="2" t="s">
        <v>447</v>
      </c>
      <c r="O563" s="3">
        <f t="shared" si="16"/>
        <v>2.8660000000000001</v>
      </c>
      <c r="P563" s="4">
        <v>0.28000000000000003</v>
      </c>
      <c r="Q563">
        <f t="shared" si="17"/>
        <v>5.6000000000000008E-2</v>
      </c>
      <c r="R563" s="4">
        <v>2.81</v>
      </c>
      <c r="S563">
        <v>1</v>
      </c>
      <c r="V563">
        <v>1</v>
      </c>
      <c r="W563" s="4">
        <v>2.81</v>
      </c>
      <c r="X563" t="s">
        <v>91</v>
      </c>
      <c r="Y563">
        <v>0.75</v>
      </c>
      <c r="AA563">
        <v>0</v>
      </c>
      <c r="BF563" s="4">
        <v>1514.75</v>
      </c>
      <c r="BG563" s="4"/>
      <c r="BH563" s="4">
        <v>10604</v>
      </c>
    </row>
    <row r="564" spans="6:60" hidden="1">
      <c r="F564" s="2" t="s">
        <v>690</v>
      </c>
      <c r="J564" t="s">
        <v>89</v>
      </c>
      <c r="K564" s="2" t="s">
        <v>447</v>
      </c>
      <c r="O564" s="3">
        <f t="shared" si="16"/>
        <v>2.1320000000000001</v>
      </c>
      <c r="P564" s="4">
        <v>0.46</v>
      </c>
      <c r="Q564">
        <f t="shared" si="17"/>
        <v>9.1999999999999998E-2</v>
      </c>
      <c r="R564" s="4">
        <v>2.04</v>
      </c>
      <c r="S564">
        <v>1</v>
      </c>
      <c r="V564">
        <v>1</v>
      </c>
      <c r="W564" s="4">
        <v>2.04</v>
      </c>
      <c r="X564" t="s">
        <v>91</v>
      </c>
      <c r="Y564">
        <v>0.75</v>
      </c>
      <c r="AA564">
        <v>0</v>
      </c>
      <c r="BF564" s="4">
        <v>1204.5</v>
      </c>
      <c r="BG564" s="4"/>
      <c r="BH564" s="4">
        <v>8432</v>
      </c>
    </row>
    <row r="565" spans="6:60" hidden="1">
      <c r="F565" s="2" t="s">
        <v>691</v>
      </c>
      <c r="J565" t="s">
        <v>89</v>
      </c>
      <c r="K565" s="2" t="s">
        <v>447</v>
      </c>
      <c r="O565" s="3">
        <f t="shared" si="16"/>
        <v>2.0059999999999998</v>
      </c>
      <c r="P565" s="4">
        <v>0.18</v>
      </c>
      <c r="Q565">
        <f t="shared" si="17"/>
        <v>3.5999999999999997E-2</v>
      </c>
      <c r="R565" s="4">
        <v>1.97</v>
      </c>
      <c r="S565">
        <v>1</v>
      </c>
      <c r="V565">
        <v>1</v>
      </c>
      <c r="W565" s="4">
        <v>1.97</v>
      </c>
      <c r="X565" t="s">
        <v>91</v>
      </c>
      <c r="Y565">
        <v>0.75</v>
      </c>
      <c r="AA565">
        <v>0</v>
      </c>
      <c r="BF565" s="4">
        <v>912.5</v>
      </c>
      <c r="BG565" s="4"/>
      <c r="BH565" s="4">
        <v>6388</v>
      </c>
    </row>
    <row r="566" spans="6:60" hidden="1">
      <c r="F566" s="2" t="s">
        <v>692</v>
      </c>
      <c r="J566" t="s">
        <v>89</v>
      </c>
      <c r="K566" s="2" t="s">
        <v>447</v>
      </c>
      <c r="O566" s="3">
        <f t="shared" si="16"/>
        <v>3.1619999999999999</v>
      </c>
      <c r="P566" s="4">
        <v>0.56000000000000005</v>
      </c>
      <c r="Q566">
        <f t="shared" si="17"/>
        <v>0.11200000000000002</v>
      </c>
      <c r="R566" s="4">
        <v>3.05</v>
      </c>
      <c r="S566">
        <v>1</v>
      </c>
      <c r="V566">
        <v>1</v>
      </c>
      <c r="W566" s="4">
        <v>3.05</v>
      </c>
      <c r="X566" t="s">
        <v>91</v>
      </c>
      <c r="Y566">
        <v>0.75</v>
      </c>
      <c r="AA566">
        <v>0</v>
      </c>
      <c r="BF566" s="4">
        <v>1405.25</v>
      </c>
      <c r="BG566" s="4"/>
      <c r="BH566" s="4">
        <v>9840</v>
      </c>
    </row>
    <row r="567" spans="6:60" hidden="1">
      <c r="F567" s="2" t="s">
        <v>693</v>
      </c>
      <c r="J567" t="s">
        <v>89</v>
      </c>
      <c r="K567" s="2" t="s">
        <v>283</v>
      </c>
      <c r="O567" s="3">
        <f t="shared" si="16"/>
        <v>12.19</v>
      </c>
      <c r="P567" s="4">
        <v>5.5</v>
      </c>
      <c r="Q567">
        <f t="shared" si="17"/>
        <v>1.1000000000000001</v>
      </c>
      <c r="R567" s="4">
        <v>11.09</v>
      </c>
      <c r="S567">
        <v>1</v>
      </c>
      <c r="V567">
        <v>1</v>
      </c>
      <c r="W567" s="4">
        <v>11.09</v>
      </c>
      <c r="X567" t="s">
        <v>91</v>
      </c>
      <c r="Y567">
        <v>0.75</v>
      </c>
      <c r="AA567">
        <v>0</v>
      </c>
      <c r="BF567" s="4">
        <v>16425</v>
      </c>
      <c r="BG567" s="4"/>
      <c r="BH567" s="4">
        <v>114975</v>
      </c>
    </row>
    <row r="568" spans="6:60" hidden="1">
      <c r="F568" s="2" t="s">
        <v>694</v>
      </c>
      <c r="J568" t="s">
        <v>89</v>
      </c>
      <c r="K568" s="2" t="s">
        <v>695</v>
      </c>
      <c r="O568" s="3">
        <f t="shared" si="16"/>
        <v>2.7199999999999998</v>
      </c>
      <c r="P568" s="4">
        <v>0.65</v>
      </c>
      <c r="Q568">
        <f t="shared" si="17"/>
        <v>0.13</v>
      </c>
      <c r="R568" s="4">
        <v>2.59</v>
      </c>
      <c r="S568">
        <v>1</v>
      </c>
      <c r="V568">
        <v>1</v>
      </c>
      <c r="W568" s="4">
        <v>2.59</v>
      </c>
      <c r="X568" t="s">
        <v>91</v>
      </c>
      <c r="Y568">
        <v>0.75</v>
      </c>
      <c r="AA568">
        <v>0</v>
      </c>
      <c r="BF568" s="4">
        <v>3467.5</v>
      </c>
      <c r="BG568" s="4"/>
      <c r="BH568" s="4">
        <v>24273</v>
      </c>
    </row>
    <row r="569" spans="6:60" hidden="1">
      <c r="F569" s="2" t="s">
        <v>696</v>
      </c>
      <c r="J569" t="s">
        <v>89</v>
      </c>
      <c r="K569" s="2" t="s">
        <v>697</v>
      </c>
      <c r="O569" s="3">
        <f t="shared" si="16"/>
        <v>2.9099999999999997</v>
      </c>
      <c r="P569" s="4">
        <v>0.75</v>
      </c>
      <c r="Q569">
        <f t="shared" si="17"/>
        <v>0.15</v>
      </c>
      <c r="R569" s="4">
        <v>2.76</v>
      </c>
      <c r="S569">
        <v>1</v>
      </c>
      <c r="V569">
        <v>1</v>
      </c>
      <c r="W569" s="4">
        <v>2.76</v>
      </c>
      <c r="X569" t="s">
        <v>91</v>
      </c>
      <c r="Y569">
        <v>0.75</v>
      </c>
      <c r="AA569">
        <v>0</v>
      </c>
      <c r="BF569" s="4">
        <v>3467.5</v>
      </c>
      <c r="BG569" s="4"/>
      <c r="BH569" s="4">
        <v>24273</v>
      </c>
    </row>
    <row r="570" spans="6:60" hidden="1">
      <c r="F570" s="2" t="s">
        <v>698</v>
      </c>
      <c r="J570" t="s">
        <v>89</v>
      </c>
      <c r="K570" s="2" t="s">
        <v>699</v>
      </c>
      <c r="O570" s="3">
        <f t="shared" si="16"/>
        <v>4.83</v>
      </c>
      <c r="P570" s="4">
        <v>1.35</v>
      </c>
      <c r="Q570">
        <f t="shared" si="17"/>
        <v>0.27</v>
      </c>
      <c r="R570" s="4">
        <v>4.5599999999999996</v>
      </c>
      <c r="S570">
        <v>1</v>
      </c>
      <c r="V570">
        <v>1</v>
      </c>
      <c r="W570" s="4">
        <v>4.5599999999999996</v>
      </c>
      <c r="X570" t="s">
        <v>91</v>
      </c>
      <c r="Y570">
        <v>0.75</v>
      </c>
      <c r="AA570">
        <v>0</v>
      </c>
      <c r="BF570" s="4">
        <v>5840</v>
      </c>
      <c r="BG570" s="4"/>
      <c r="BH570" s="4">
        <v>40880</v>
      </c>
    </row>
    <row r="571" spans="6:60" hidden="1">
      <c r="F571" s="2" t="s">
        <v>700</v>
      </c>
      <c r="J571" t="s">
        <v>89</v>
      </c>
      <c r="K571" s="2" t="s">
        <v>701</v>
      </c>
      <c r="O571" s="3">
        <f t="shared" si="16"/>
        <v>9.9940000000000015</v>
      </c>
      <c r="P571" s="4">
        <v>5.57</v>
      </c>
      <c r="Q571">
        <f t="shared" si="17"/>
        <v>1.1140000000000001</v>
      </c>
      <c r="R571" s="4">
        <v>8.8800000000000008</v>
      </c>
      <c r="S571">
        <v>1</v>
      </c>
      <c r="V571">
        <v>1</v>
      </c>
      <c r="W571" s="4">
        <v>8.8800000000000008</v>
      </c>
      <c r="X571" t="s">
        <v>91</v>
      </c>
      <c r="Y571">
        <v>0.75</v>
      </c>
      <c r="AA571">
        <v>0</v>
      </c>
      <c r="BF571" s="4">
        <v>16060</v>
      </c>
      <c r="BG571" s="4"/>
      <c r="BH571" s="4">
        <v>112420</v>
      </c>
    </row>
    <row r="572" spans="6:60" hidden="1">
      <c r="F572" s="2" t="s">
        <v>702</v>
      </c>
      <c r="J572" t="s">
        <v>89</v>
      </c>
      <c r="K572" s="2" t="s">
        <v>234</v>
      </c>
      <c r="O572" s="3">
        <f t="shared" si="16"/>
        <v>2.6280000000000001</v>
      </c>
      <c r="P572" s="4">
        <v>0.54</v>
      </c>
      <c r="Q572">
        <f t="shared" si="17"/>
        <v>0.10800000000000001</v>
      </c>
      <c r="R572" s="4">
        <v>2.52</v>
      </c>
      <c r="S572">
        <v>1</v>
      </c>
      <c r="V572">
        <v>1</v>
      </c>
      <c r="W572" s="4">
        <v>2.52</v>
      </c>
      <c r="X572" t="s">
        <v>91</v>
      </c>
      <c r="Y572">
        <v>0.75</v>
      </c>
      <c r="AA572">
        <v>0</v>
      </c>
      <c r="BF572" s="4">
        <v>1231.6300000000001</v>
      </c>
      <c r="BG572" s="4"/>
      <c r="BH572" s="4">
        <v>8621.3799999999992</v>
      </c>
    </row>
    <row r="573" spans="6:60" hidden="1">
      <c r="F573" s="2" t="s">
        <v>703</v>
      </c>
      <c r="J573" t="s">
        <v>89</v>
      </c>
      <c r="K573" s="2" t="s">
        <v>234</v>
      </c>
      <c r="O573" s="3">
        <f t="shared" si="16"/>
        <v>2.7919999999999998</v>
      </c>
      <c r="P573" s="4">
        <v>0.51</v>
      </c>
      <c r="Q573">
        <f t="shared" si="17"/>
        <v>0.10200000000000001</v>
      </c>
      <c r="R573" s="4">
        <v>2.69</v>
      </c>
      <c r="S573">
        <v>1</v>
      </c>
      <c r="V573">
        <v>1</v>
      </c>
      <c r="W573" s="4">
        <v>2.69</v>
      </c>
      <c r="X573" t="s">
        <v>91</v>
      </c>
      <c r="Y573">
        <v>0.75</v>
      </c>
      <c r="AA573">
        <v>0</v>
      </c>
      <c r="BF573" s="4">
        <v>1315.51</v>
      </c>
      <c r="BG573" s="4"/>
      <c r="BH573" s="4">
        <v>9208.57</v>
      </c>
    </row>
    <row r="574" spans="6:60" hidden="1">
      <c r="F574" s="2" t="s">
        <v>704</v>
      </c>
      <c r="J574" t="s">
        <v>89</v>
      </c>
      <c r="K574" s="2" t="s">
        <v>234</v>
      </c>
      <c r="O574" s="3">
        <f t="shared" si="16"/>
        <v>8.5420000000000016</v>
      </c>
      <c r="P574" s="4">
        <v>0.81</v>
      </c>
      <c r="Q574">
        <f t="shared" si="17"/>
        <v>0.16200000000000001</v>
      </c>
      <c r="R574" s="4">
        <v>8.3800000000000008</v>
      </c>
      <c r="S574">
        <v>1</v>
      </c>
      <c r="V574">
        <v>1</v>
      </c>
      <c r="W574" s="4">
        <v>8.3800000000000008</v>
      </c>
      <c r="X574" t="s">
        <v>91</v>
      </c>
      <c r="Y574">
        <v>0.75</v>
      </c>
      <c r="AA574">
        <v>0</v>
      </c>
      <c r="BF574" s="4">
        <v>3398.67</v>
      </c>
      <c r="BG574" s="4"/>
      <c r="BH574" s="4">
        <v>23790.68</v>
      </c>
    </row>
    <row r="575" spans="6:60" hidden="1">
      <c r="F575" s="2" t="s">
        <v>705</v>
      </c>
      <c r="J575" t="s">
        <v>89</v>
      </c>
      <c r="K575" s="2" t="s">
        <v>234</v>
      </c>
      <c r="O575" s="3">
        <f t="shared" si="16"/>
        <v>2.8939999999999997</v>
      </c>
      <c r="P575" s="4">
        <v>0.67</v>
      </c>
      <c r="Q575">
        <f t="shared" si="17"/>
        <v>0.13400000000000001</v>
      </c>
      <c r="R575" s="4">
        <v>2.76</v>
      </c>
      <c r="S575">
        <v>1</v>
      </c>
      <c r="V575">
        <v>1</v>
      </c>
      <c r="W575" s="4">
        <v>2.76</v>
      </c>
      <c r="X575" t="s">
        <v>91</v>
      </c>
      <c r="Y575">
        <v>0.75</v>
      </c>
      <c r="AA575">
        <v>0</v>
      </c>
      <c r="BF575" s="4">
        <v>1376.64</v>
      </c>
      <c r="BG575" s="4"/>
      <c r="BH575" s="4">
        <v>9636.4699999999993</v>
      </c>
    </row>
    <row r="576" spans="6:60" hidden="1">
      <c r="F576" s="2" t="s">
        <v>706</v>
      </c>
      <c r="J576" t="s">
        <v>89</v>
      </c>
      <c r="K576" s="2" t="s">
        <v>234</v>
      </c>
      <c r="O576" s="3">
        <f t="shared" si="16"/>
        <v>5.6858000000000004</v>
      </c>
      <c r="P576" s="4">
        <v>0.379</v>
      </c>
      <c r="Q576">
        <f t="shared" si="17"/>
        <v>7.5800000000000006E-2</v>
      </c>
      <c r="R576" s="4">
        <v>5.61</v>
      </c>
      <c r="S576">
        <v>1</v>
      </c>
      <c r="V576">
        <v>1</v>
      </c>
      <c r="W576" s="4">
        <v>5.61</v>
      </c>
      <c r="X576" t="s">
        <v>91</v>
      </c>
      <c r="Y576">
        <v>0.75</v>
      </c>
      <c r="AA576">
        <v>0</v>
      </c>
      <c r="BF576" s="4">
        <v>3305</v>
      </c>
      <c r="BG576" s="4"/>
      <c r="BH576" s="4">
        <v>23135</v>
      </c>
    </row>
    <row r="577" spans="6:60" hidden="1">
      <c r="F577" s="2" t="s">
        <v>707</v>
      </c>
      <c r="J577" t="s">
        <v>89</v>
      </c>
      <c r="K577" s="2" t="s">
        <v>234</v>
      </c>
      <c r="O577" s="3">
        <f t="shared" si="16"/>
        <v>5.2278000000000002</v>
      </c>
      <c r="P577" s="4">
        <v>0.48899999999999999</v>
      </c>
      <c r="Q577">
        <f t="shared" si="17"/>
        <v>9.7799999999999998E-2</v>
      </c>
      <c r="R577" s="4">
        <v>5.13</v>
      </c>
      <c r="S577">
        <v>1</v>
      </c>
      <c r="V577">
        <v>1</v>
      </c>
      <c r="W577" s="4">
        <v>5.13</v>
      </c>
      <c r="X577" t="s">
        <v>91</v>
      </c>
      <c r="Y577">
        <v>0.75</v>
      </c>
      <c r="AA577">
        <v>0</v>
      </c>
      <c r="BF577" s="4">
        <v>2423</v>
      </c>
      <c r="BG577" s="4"/>
      <c r="BH577" s="4">
        <v>16560</v>
      </c>
    </row>
    <row r="578" spans="6:60" hidden="1">
      <c r="F578" s="2" t="s">
        <v>708</v>
      </c>
      <c r="J578" t="s">
        <v>89</v>
      </c>
      <c r="K578" s="2" t="s">
        <v>234</v>
      </c>
      <c r="O578" s="3">
        <f t="shared" si="16"/>
        <v>5.45</v>
      </c>
      <c r="P578" s="4">
        <v>2.0499999999999998</v>
      </c>
      <c r="Q578">
        <f t="shared" si="17"/>
        <v>0.41</v>
      </c>
      <c r="R578" s="4">
        <v>5.04</v>
      </c>
      <c r="S578">
        <v>1</v>
      </c>
      <c r="V578">
        <v>1</v>
      </c>
      <c r="W578" s="4">
        <v>5.04</v>
      </c>
      <c r="X578" t="s">
        <v>91</v>
      </c>
      <c r="Y578">
        <v>0.75</v>
      </c>
      <c r="AA578">
        <v>0</v>
      </c>
      <c r="BF578" s="4">
        <v>3164.25</v>
      </c>
      <c r="BG578" s="4"/>
      <c r="BH578" s="4">
        <v>22149.759999999998</v>
      </c>
    </row>
    <row r="579" spans="6:60" hidden="1">
      <c r="F579" s="2" t="s">
        <v>709</v>
      </c>
      <c r="J579" t="s">
        <v>89</v>
      </c>
      <c r="K579" s="2" t="s">
        <v>234</v>
      </c>
      <c r="O579" s="3">
        <f t="shared" ref="O579:O607" si="18">Q579+R579</f>
        <v>4.13</v>
      </c>
      <c r="P579" s="4">
        <v>0.85</v>
      </c>
      <c r="Q579">
        <f t="shared" ref="Q579:Q607" si="19">P579/5</f>
        <v>0.16999999999999998</v>
      </c>
      <c r="R579" s="4">
        <v>3.96</v>
      </c>
      <c r="S579">
        <v>1</v>
      </c>
      <c r="V579">
        <v>1</v>
      </c>
      <c r="W579" s="4">
        <v>3.96</v>
      </c>
      <c r="X579" t="s">
        <v>91</v>
      </c>
      <c r="Y579">
        <v>0.75</v>
      </c>
      <c r="AA579">
        <v>0</v>
      </c>
      <c r="BF579" s="4">
        <v>1922.7</v>
      </c>
      <c r="BG579" s="4"/>
      <c r="BH579" s="4">
        <v>13458.89</v>
      </c>
    </row>
    <row r="580" spans="6:60" hidden="1">
      <c r="F580" s="2" t="s">
        <v>710</v>
      </c>
      <c r="J580" t="s">
        <v>89</v>
      </c>
      <c r="K580" s="2" t="s">
        <v>234</v>
      </c>
      <c r="O580" s="3">
        <f t="shared" si="18"/>
        <v>2.524</v>
      </c>
      <c r="P580" s="4">
        <v>0.92</v>
      </c>
      <c r="Q580">
        <f t="shared" si="19"/>
        <v>0.184</v>
      </c>
      <c r="R580" s="4">
        <v>2.34</v>
      </c>
      <c r="S580">
        <v>1</v>
      </c>
      <c r="V580">
        <v>1</v>
      </c>
      <c r="W580" s="4">
        <v>2.34</v>
      </c>
      <c r="X580" t="s">
        <v>91</v>
      </c>
      <c r="Y580">
        <v>0.75</v>
      </c>
      <c r="AA580">
        <v>0</v>
      </c>
      <c r="BF580" s="4">
        <v>3666.86</v>
      </c>
      <c r="BG580" s="4"/>
      <c r="BH580" s="4">
        <v>25668</v>
      </c>
    </row>
    <row r="581" spans="6:60" hidden="1">
      <c r="F581" s="2" t="s">
        <v>711</v>
      </c>
      <c r="J581" t="s">
        <v>89</v>
      </c>
      <c r="K581" s="2" t="s">
        <v>234</v>
      </c>
      <c r="O581" s="3">
        <f t="shared" si="18"/>
        <v>2.17</v>
      </c>
      <c r="P581" s="4">
        <v>0.65</v>
      </c>
      <c r="Q581">
        <f t="shared" si="19"/>
        <v>0.13</v>
      </c>
      <c r="R581" s="4">
        <v>2.04</v>
      </c>
      <c r="S581">
        <v>1</v>
      </c>
      <c r="V581">
        <v>1</v>
      </c>
      <c r="W581" s="4">
        <v>2.04</v>
      </c>
      <c r="X581" t="s">
        <v>91</v>
      </c>
      <c r="Y581">
        <v>0.75</v>
      </c>
      <c r="AA581">
        <v>0</v>
      </c>
      <c r="BF581" s="4">
        <v>2200</v>
      </c>
      <c r="BG581" s="4"/>
      <c r="BH581" s="4">
        <v>15400</v>
      </c>
    </row>
    <row r="582" spans="6:60" hidden="1">
      <c r="F582" s="2" t="s">
        <v>712</v>
      </c>
      <c r="J582" t="s">
        <v>89</v>
      </c>
      <c r="K582" s="2" t="s">
        <v>234</v>
      </c>
      <c r="O582" s="3">
        <f t="shared" si="18"/>
        <v>4.5</v>
      </c>
      <c r="P582" s="4">
        <v>1</v>
      </c>
      <c r="Q582">
        <f t="shared" si="19"/>
        <v>0.2</v>
      </c>
      <c r="R582" s="4">
        <v>4.3</v>
      </c>
      <c r="S582">
        <v>1</v>
      </c>
      <c r="V582">
        <v>1</v>
      </c>
      <c r="W582" s="4">
        <v>4.3</v>
      </c>
      <c r="X582" t="s">
        <v>91</v>
      </c>
      <c r="Y582">
        <v>0.75</v>
      </c>
      <c r="AA582">
        <v>0</v>
      </c>
      <c r="BF582" s="4">
        <v>335</v>
      </c>
      <c r="BG582" s="4"/>
      <c r="BH582" s="4">
        <v>2345</v>
      </c>
    </row>
    <row r="583" spans="6:60" hidden="1">
      <c r="F583" s="2" t="s">
        <v>713</v>
      </c>
      <c r="J583" t="s">
        <v>89</v>
      </c>
      <c r="K583" s="2" t="s">
        <v>234</v>
      </c>
      <c r="O583" s="3">
        <f t="shared" si="18"/>
        <v>4.5520000000000005</v>
      </c>
      <c r="P583" s="4">
        <v>1.1100000000000001</v>
      </c>
      <c r="Q583">
        <f t="shared" si="19"/>
        <v>0.22200000000000003</v>
      </c>
      <c r="R583" s="4">
        <v>4.33</v>
      </c>
      <c r="S583">
        <v>1</v>
      </c>
      <c r="V583">
        <v>1</v>
      </c>
      <c r="W583" s="4">
        <v>4.33</v>
      </c>
      <c r="X583" t="s">
        <v>91</v>
      </c>
      <c r="Y583">
        <v>0.75</v>
      </c>
      <c r="AA583">
        <v>0</v>
      </c>
      <c r="BF583" s="4">
        <v>4080</v>
      </c>
      <c r="BG583" s="4"/>
      <c r="BH583" s="4">
        <v>28564</v>
      </c>
    </row>
    <row r="584" spans="6:60" hidden="1">
      <c r="F584" s="2" t="s">
        <v>714</v>
      </c>
      <c r="J584" t="s">
        <v>89</v>
      </c>
      <c r="K584" s="2" t="s">
        <v>557</v>
      </c>
      <c r="O584" s="3">
        <f t="shared" si="18"/>
        <v>1.8360000000000001</v>
      </c>
      <c r="P584" s="4">
        <v>0.23</v>
      </c>
      <c r="Q584">
        <f t="shared" si="19"/>
        <v>4.5999999999999999E-2</v>
      </c>
      <c r="R584" s="4">
        <v>1.79</v>
      </c>
      <c r="S584">
        <v>1</v>
      </c>
      <c r="V584">
        <v>1</v>
      </c>
      <c r="W584" s="4">
        <v>1.79</v>
      </c>
      <c r="X584" t="s">
        <v>91</v>
      </c>
      <c r="Y584">
        <v>0.75</v>
      </c>
      <c r="AA584">
        <v>0</v>
      </c>
      <c r="BF584" s="4">
        <v>759.09</v>
      </c>
      <c r="BG584" s="4"/>
      <c r="BH584" s="4">
        <v>5313.64</v>
      </c>
    </row>
    <row r="585" spans="6:60" hidden="1">
      <c r="F585" s="2" t="s">
        <v>715</v>
      </c>
      <c r="J585" t="s">
        <v>89</v>
      </c>
      <c r="K585" s="2" t="s">
        <v>557</v>
      </c>
      <c r="O585" s="3">
        <f t="shared" si="18"/>
        <v>3.1</v>
      </c>
      <c r="P585" s="4">
        <v>0.36</v>
      </c>
      <c r="Q585">
        <f t="shared" si="19"/>
        <v>7.1999999999999995E-2</v>
      </c>
      <c r="R585" s="4">
        <v>3.028</v>
      </c>
      <c r="S585">
        <v>1</v>
      </c>
      <c r="V585">
        <v>1</v>
      </c>
      <c r="W585" s="4">
        <v>3.028</v>
      </c>
      <c r="X585" t="s">
        <v>91</v>
      </c>
      <c r="Y585">
        <v>0.75</v>
      </c>
      <c r="AA585">
        <v>0</v>
      </c>
      <c r="BF585" s="4">
        <v>1256.4100000000001</v>
      </c>
      <c r="BG585" s="4"/>
      <c r="BH585" s="4">
        <v>8794.84</v>
      </c>
    </row>
    <row r="586" spans="6:60" hidden="1">
      <c r="F586" s="2" t="s">
        <v>716</v>
      </c>
      <c r="J586" t="s">
        <v>89</v>
      </c>
      <c r="K586" s="2" t="s">
        <v>557</v>
      </c>
      <c r="O586" s="3">
        <f t="shared" si="18"/>
        <v>1.536</v>
      </c>
      <c r="P586" s="4">
        <v>0.33</v>
      </c>
      <c r="Q586">
        <f t="shared" si="19"/>
        <v>6.6000000000000003E-2</v>
      </c>
      <c r="R586" s="4">
        <v>1.47</v>
      </c>
      <c r="S586">
        <v>1</v>
      </c>
      <c r="V586">
        <v>1</v>
      </c>
      <c r="W586" s="4">
        <v>1.47</v>
      </c>
      <c r="X586" t="s">
        <v>91</v>
      </c>
      <c r="Y586">
        <v>0.75</v>
      </c>
      <c r="AA586">
        <v>0</v>
      </c>
      <c r="BF586" s="4">
        <v>754.83</v>
      </c>
      <c r="BG586" s="4"/>
      <c r="BH586" s="4">
        <v>5283.79</v>
      </c>
    </row>
    <row r="587" spans="6:60" hidden="1">
      <c r="F587" s="2" t="s">
        <v>717</v>
      </c>
      <c r="J587" t="s">
        <v>89</v>
      </c>
      <c r="K587" s="2" t="s">
        <v>557</v>
      </c>
      <c r="O587" s="3">
        <f t="shared" si="18"/>
        <v>3.5940000000000003</v>
      </c>
      <c r="P587" s="4">
        <v>0.62</v>
      </c>
      <c r="Q587">
        <f t="shared" si="19"/>
        <v>0.124</v>
      </c>
      <c r="R587" s="4">
        <v>3.47</v>
      </c>
      <c r="S587">
        <v>1</v>
      </c>
      <c r="V587">
        <v>1</v>
      </c>
      <c r="W587" s="4">
        <v>3.47</v>
      </c>
      <c r="X587" t="s">
        <v>91</v>
      </c>
      <c r="Y587">
        <v>0.75</v>
      </c>
      <c r="AA587">
        <v>0</v>
      </c>
      <c r="BF587" s="4">
        <v>1730.8</v>
      </c>
      <c r="BG587" s="4"/>
      <c r="BH587" s="4">
        <v>12115.59</v>
      </c>
    </row>
    <row r="588" spans="6:60" hidden="1">
      <c r="F588" s="2" t="s">
        <v>718</v>
      </c>
      <c r="J588" t="s">
        <v>89</v>
      </c>
      <c r="K588" s="2" t="s">
        <v>557</v>
      </c>
      <c r="O588" s="3">
        <f t="shared" si="18"/>
        <v>4.4960000000000004</v>
      </c>
      <c r="P588" s="4">
        <v>0.68</v>
      </c>
      <c r="Q588">
        <f t="shared" si="19"/>
        <v>0.13600000000000001</v>
      </c>
      <c r="R588" s="4">
        <v>4.3600000000000003</v>
      </c>
      <c r="S588">
        <v>1</v>
      </c>
      <c r="V588">
        <v>1</v>
      </c>
      <c r="W588" s="4">
        <v>4.3600000000000003</v>
      </c>
      <c r="X588" t="s">
        <v>91</v>
      </c>
      <c r="Y588">
        <v>0.75</v>
      </c>
      <c r="AA588">
        <v>0</v>
      </c>
      <c r="BF588" s="4">
        <v>1867</v>
      </c>
      <c r="BG588" s="4"/>
      <c r="BH588" s="4">
        <v>13067</v>
      </c>
    </row>
    <row r="589" spans="6:60" hidden="1">
      <c r="F589" s="2" t="s">
        <v>719</v>
      </c>
      <c r="J589" t="s">
        <v>89</v>
      </c>
      <c r="K589" s="2" t="s">
        <v>557</v>
      </c>
      <c r="O589" s="3">
        <f t="shared" si="18"/>
        <v>4.6560000000000006</v>
      </c>
      <c r="P589" s="4">
        <v>0.43</v>
      </c>
      <c r="Q589">
        <f t="shared" si="19"/>
        <v>8.5999999999999993E-2</v>
      </c>
      <c r="R589" s="4">
        <v>4.57</v>
      </c>
      <c r="S589">
        <v>1</v>
      </c>
      <c r="V589">
        <v>1</v>
      </c>
      <c r="W589" s="4">
        <v>4.57</v>
      </c>
      <c r="X589" t="s">
        <v>91</v>
      </c>
      <c r="Y589">
        <v>0.75</v>
      </c>
      <c r="AA589">
        <v>0</v>
      </c>
      <c r="BF589" s="4">
        <v>1754.1</v>
      </c>
      <c r="BG589" s="4"/>
      <c r="BH589" s="4">
        <v>12278.72</v>
      </c>
    </row>
    <row r="590" spans="6:60" hidden="1">
      <c r="F590" s="2" t="s">
        <v>720</v>
      </c>
      <c r="J590" t="s">
        <v>89</v>
      </c>
      <c r="K590" s="2" t="s">
        <v>557</v>
      </c>
      <c r="O590" s="3">
        <f t="shared" si="18"/>
        <v>3.8036000000000003</v>
      </c>
      <c r="P590" s="4">
        <v>0.318</v>
      </c>
      <c r="Q590">
        <f t="shared" si="19"/>
        <v>6.3600000000000004E-2</v>
      </c>
      <c r="R590" s="4">
        <v>3.74</v>
      </c>
      <c r="S590">
        <v>1</v>
      </c>
      <c r="V590">
        <v>1</v>
      </c>
      <c r="W590" s="4">
        <v>3.74</v>
      </c>
      <c r="X590" t="s">
        <v>91</v>
      </c>
      <c r="Y590">
        <v>0.75</v>
      </c>
      <c r="AA590">
        <v>0</v>
      </c>
      <c r="BF590" s="4">
        <v>23228</v>
      </c>
      <c r="BG590" s="4"/>
      <c r="BH590" s="4">
        <v>16296</v>
      </c>
    </row>
    <row r="591" spans="6:60" hidden="1">
      <c r="F591" s="2" t="s">
        <v>721</v>
      </c>
      <c r="J591" t="s">
        <v>89</v>
      </c>
      <c r="K591" s="2" t="s">
        <v>557</v>
      </c>
      <c r="O591" s="3">
        <f t="shared" si="18"/>
        <v>4.4059999999999997</v>
      </c>
      <c r="P591" s="4">
        <v>0.18</v>
      </c>
      <c r="Q591">
        <f t="shared" si="19"/>
        <v>3.5999999999999997E-2</v>
      </c>
      <c r="R591" s="4">
        <v>4.37</v>
      </c>
      <c r="S591">
        <v>1</v>
      </c>
      <c r="V591">
        <v>1</v>
      </c>
      <c r="W591" s="4">
        <v>4.37</v>
      </c>
      <c r="X591" t="s">
        <v>91</v>
      </c>
      <c r="Y591">
        <v>0.75</v>
      </c>
      <c r="AA591">
        <v>0</v>
      </c>
      <c r="BF591" s="4">
        <v>2321.92</v>
      </c>
      <c r="BG591" s="4"/>
      <c r="BH591" s="4">
        <v>16253.42</v>
      </c>
    </row>
    <row r="592" spans="6:60" hidden="1">
      <c r="F592" s="2" t="s">
        <v>722</v>
      </c>
      <c r="J592" t="s">
        <v>89</v>
      </c>
      <c r="K592" s="2" t="s">
        <v>557</v>
      </c>
      <c r="O592" s="3">
        <f t="shared" si="18"/>
        <v>5.72</v>
      </c>
      <c r="P592" s="4">
        <v>0.65</v>
      </c>
      <c r="Q592">
        <f t="shared" si="19"/>
        <v>0.13</v>
      </c>
      <c r="R592" s="4">
        <v>5.59</v>
      </c>
      <c r="S592">
        <v>1</v>
      </c>
      <c r="V592">
        <v>1</v>
      </c>
      <c r="W592" s="4">
        <v>5.59</v>
      </c>
      <c r="X592" t="s">
        <v>91</v>
      </c>
      <c r="Y592">
        <v>0.75</v>
      </c>
      <c r="AA592">
        <v>0</v>
      </c>
      <c r="BF592" s="4">
        <v>3653</v>
      </c>
      <c r="BG592" s="4"/>
      <c r="BH592" s="4">
        <v>25574</v>
      </c>
    </row>
    <row r="593" spans="6:60" hidden="1">
      <c r="F593" s="2" t="s">
        <v>723</v>
      </c>
      <c r="J593" t="s">
        <v>89</v>
      </c>
      <c r="K593" s="2" t="s">
        <v>557</v>
      </c>
      <c r="O593" s="3">
        <f t="shared" si="18"/>
        <v>6.56</v>
      </c>
      <c r="P593" s="4">
        <v>0.2</v>
      </c>
      <c r="Q593">
        <f t="shared" si="19"/>
        <v>0.04</v>
      </c>
      <c r="R593" s="4">
        <v>6.52</v>
      </c>
      <c r="S593">
        <v>1</v>
      </c>
      <c r="V593">
        <v>1</v>
      </c>
      <c r="W593" s="4">
        <v>6.52</v>
      </c>
      <c r="X593" t="s">
        <v>91</v>
      </c>
      <c r="Y593">
        <v>0.75</v>
      </c>
      <c r="AA593">
        <v>0</v>
      </c>
      <c r="BF593" s="4">
        <v>2495</v>
      </c>
      <c r="BG593" s="4"/>
      <c r="BH593" s="4">
        <v>17460</v>
      </c>
    </row>
    <row r="594" spans="6:60" hidden="1">
      <c r="F594" s="2" t="s">
        <v>724</v>
      </c>
      <c r="J594" t="s">
        <v>89</v>
      </c>
      <c r="K594" s="2" t="s">
        <v>557</v>
      </c>
      <c r="O594" s="3">
        <f t="shared" si="18"/>
        <v>5.32</v>
      </c>
      <c r="P594" s="4">
        <v>0.35</v>
      </c>
      <c r="Q594">
        <f t="shared" si="19"/>
        <v>6.9999999999999993E-2</v>
      </c>
      <c r="R594" s="4">
        <v>5.25</v>
      </c>
      <c r="S594">
        <v>1</v>
      </c>
      <c r="V594">
        <v>1</v>
      </c>
      <c r="W594" s="4">
        <v>5.25</v>
      </c>
      <c r="X594" t="s">
        <v>91</v>
      </c>
      <c r="Y594">
        <v>0.75</v>
      </c>
      <c r="AA594">
        <v>0</v>
      </c>
      <c r="BF594" s="4">
        <v>2252</v>
      </c>
      <c r="BG594" s="4"/>
      <c r="BH594" s="4">
        <v>14000</v>
      </c>
    </row>
    <row r="595" spans="6:60" hidden="1">
      <c r="F595" s="2" t="s">
        <v>725</v>
      </c>
      <c r="J595" t="s">
        <v>89</v>
      </c>
      <c r="K595" s="2" t="s">
        <v>557</v>
      </c>
      <c r="O595" s="3">
        <f t="shared" si="18"/>
        <v>4.2600000000000007</v>
      </c>
      <c r="P595" s="4">
        <v>0.75</v>
      </c>
      <c r="Q595">
        <f t="shared" si="19"/>
        <v>0.15</v>
      </c>
      <c r="R595" s="4">
        <v>4.1100000000000003</v>
      </c>
      <c r="S595">
        <v>1</v>
      </c>
      <c r="V595">
        <v>1</v>
      </c>
      <c r="W595" s="4">
        <v>4.1100000000000003</v>
      </c>
      <c r="X595" t="s">
        <v>91</v>
      </c>
      <c r="Y595">
        <v>0.75</v>
      </c>
      <c r="AA595">
        <v>0</v>
      </c>
      <c r="BF595" s="4">
        <v>2973.51</v>
      </c>
      <c r="BG595" s="4"/>
      <c r="BH595" s="4">
        <v>20814.54</v>
      </c>
    </row>
    <row r="596" spans="6:60" hidden="1">
      <c r="F596" s="2" t="s">
        <v>726</v>
      </c>
      <c r="J596" t="s">
        <v>89</v>
      </c>
      <c r="K596" s="2" t="s">
        <v>557</v>
      </c>
      <c r="O596" s="3">
        <f t="shared" si="18"/>
        <v>6.2700000000000005</v>
      </c>
      <c r="P596" s="4">
        <v>0.55000000000000004</v>
      </c>
      <c r="Q596">
        <f t="shared" si="19"/>
        <v>0.11000000000000001</v>
      </c>
      <c r="R596" s="4">
        <v>6.16</v>
      </c>
      <c r="S596">
        <v>1</v>
      </c>
      <c r="V596">
        <v>1</v>
      </c>
      <c r="W596" s="4">
        <v>6.16</v>
      </c>
      <c r="X596" t="s">
        <v>91</v>
      </c>
      <c r="Y596">
        <v>0.75</v>
      </c>
      <c r="AA596">
        <v>0</v>
      </c>
      <c r="BF596" s="4">
        <v>3906.33</v>
      </c>
      <c r="BG596" s="4"/>
      <c r="BH596" s="4">
        <v>27344.32</v>
      </c>
    </row>
    <row r="597" spans="6:60" hidden="1">
      <c r="F597" s="2" t="s">
        <v>727</v>
      </c>
      <c r="J597" t="s">
        <v>89</v>
      </c>
      <c r="K597" s="2" t="s">
        <v>557</v>
      </c>
      <c r="O597" s="3">
        <f t="shared" si="18"/>
        <v>5.726</v>
      </c>
      <c r="P597" s="4">
        <v>0.78</v>
      </c>
      <c r="Q597">
        <f t="shared" si="19"/>
        <v>0.156</v>
      </c>
      <c r="R597" s="4">
        <v>5.57</v>
      </c>
      <c r="S597">
        <v>1</v>
      </c>
      <c r="V597">
        <v>1</v>
      </c>
      <c r="W597" s="4">
        <v>5.57</v>
      </c>
      <c r="X597" t="s">
        <v>91</v>
      </c>
      <c r="Y597">
        <v>0.75</v>
      </c>
      <c r="AA597">
        <v>0</v>
      </c>
      <c r="BF597" s="4">
        <v>3795.41</v>
      </c>
      <c r="BG597" s="4"/>
      <c r="BH597" s="4">
        <v>26567.89</v>
      </c>
    </row>
    <row r="598" spans="6:60" hidden="1">
      <c r="F598" s="2" t="s">
        <v>728</v>
      </c>
      <c r="J598" t="s">
        <v>89</v>
      </c>
      <c r="K598" s="2" t="s">
        <v>557</v>
      </c>
      <c r="O598" s="3">
        <f t="shared" si="18"/>
        <v>6.0579999999999998</v>
      </c>
      <c r="P598" s="4">
        <v>0.74</v>
      </c>
      <c r="Q598">
        <f t="shared" si="19"/>
        <v>0.14799999999999999</v>
      </c>
      <c r="R598" s="4">
        <v>5.91</v>
      </c>
      <c r="S598">
        <v>1</v>
      </c>
      <c r="V598">
        <v>1</v>
      </c>
      <c r="W598" s="4">
        <v>5.91</v>
      </c>
      <c r="X598" t="s">
        <v>91</v>
      </c>
      <c r="Y598">
        <v>0.75</v>
      </c>
      <c r="AA598">
        <v>0</v>
      </c>
      <c r="BF598" s="4">
        <v>3771.76</v>
      </c>
      <c r="BG598" s="4"/>
      <c r="BH598" s="4">
        <v>26402.31</v>
      </c>
    </row>
    <row r="599" spans="6:60" hidden="1">
      <c r="F599" s="2" t="s">
        <v>729</v>
      </c>
      <c r="J599" t="s">
        <v>89</v>
      </c>
      <c r="K599" s="2" t="s">
        <v>557</v>
      </c>
      <c r="O599" s="3">
        <f t="shared" si="18"/>
        <v>6.0940000000000003</v>
      </c>
      <c r="P599" s="4">
        <v>0.77</v>
      </c>
      <c r="Q599">
        <f t="shared" si="19"/>
        <v>0.154</v>
      </c>
      <c r="R599" s="4">
        <v>5.94</v>
      </c>
      <c r="S599">
        <v>1</v>
      </c>
      <c r="V599">
        <v>1</v>
      </c>
      <c r="W599" s="4">
        <v>5.94</v>
      </c>
      <c r="X599" t="s">
        <v>91</v>
      </c>
      <c r="Y599">
        <v>0.75</v>
      </c>
      <c r="AA599">
        <v>0</v>
      </c>
      <c r="BF599" s="4">
        <v>3766.36</v>
      </c>
      <c r="BG599" s="4"/>
      <c r="BH599" s="4">
        <v>26364.53</v>
      </c>
    </row>
    <row r="600" spans="6:60" hidden="1">
      <c r="F600" s="2" t="s">
        <v>730</v>
      </c>
      <c r="J600" t="s">
        <v>89</v>
      </c>
      <c r="K600" s="2" t="s">
        <v>557</v>
      </c>
      <c r="O600" s="3">
        <f t="shared" si="18"/>
        <v>7.6820000000000004</v>
      </c>
      <c r="P600" s="4">
        <v>0.76</v>
      </c>
      <c r="Q600">
        <f t="shared" si="19"/>
        <v>0.152</v>
      </c>
      <c r="R600" s="4">
        <v>7.53</v>
      </c>
      <c r="S600">
        <v>1</v>
      </c>
      <c r="V600">
        <v>1</v>
      </c>
      <c r="W600" s="4">
        <v>7.53</v>
      </c>
      <c r="X600" t="s">
        <v>91</v>
      </c>
      <c r="Y600">
        <v>0.75</v>
      </c>
      <c r="AA600">
        <v>0</v>
      </c>
      <c r="BF600" s="4">
        <v>4457.32</v>
      </c>
      <c r="BG600" s="4"/>
      <c r="BH600" s="4">
        <v>31201.24</v>
      </c>
    </row>
    <row r="601" spans="6:60" hidden="1">
      <c r="F601" s="2" t="s">
        <v>731</v>
      </c>
      <c r="J601" t="s">
        <v>89</v>
      </c>
      <c r="K601" s="2" t="s">
        <v>557</v>
      </c>
      <c r="O601" s="3">
        <f t="shared" si="18"/>
        <v>7.5780000000000003</v>
      </c>
      <c r="P601" s="4">
        <v>1.44</v>
      </c>
      <c r="Q601">
        <f t="shared" si="19"/>
        <v>0.28799999999999998</v>
      </c>
      <c r="R601" s="4">
        <v>7.29</v>
      </c>
      <c r="S601">
        <v>1</v>
      </c>
      <c r="V601">
        <v>1</v>
      </c>
      <c r="W601" s="4">
        <v>7.29</v>
      </c>
      <c r="X601" t="s">
        <v>91</v>
      </c>
      <c r="Y601">
        <v>0.75</v>
      </c>
      <c r="AA601">
        <v>0</v>
      </c>
      <c r="BF601" s="4">
        <v>4861</v>
      </c>
      <c r="BG601" s="4"/>
      <c r="BH601" s="4">
        <v>34000</v>
      </c>
    </row>
    <row r="602" spans="6:60" hidden="1">
      <c r="F602" s="2" t="s">
        <v>732</v>
      </c>
      <c r="J602" t="s">
        <v>89</v>
      </c>
      <c r="K602" s="2" t="s">
        <v>557</v>
      </c>
      <c r="O602" s="3">
        <f t="shared" si="18"/>
        <v>3.4180000000000001</v>
      </c>
      <c r="P602" s="4">
        <v>1.04</v>
      </c>
      <c r="Q602">
        <f t="shared" si="19"/>
        <v>0.20800000000000002</v>
      </c>
      <c r="R602" s="4">
        <v>3.21</v>
      </c>
      <c r="S602">
        <v>1</v>
      </c>
      <c r="V602">
        <v>1</v>
      </c>
      <c r="W602" s="4">
        <v>3.21</v>
      </c>
      <c r="X602" t="s">
        <v>91</v>
      </c>
      <c r="Y602">
        <v>0.75</v>
      </c>
      <c r="AA602">
        <v>0</v>
      </c>
      <c r="BF602" s="4">
        <v>2973</v>
      </c>
      <c r="BG602" s="4"/>
      <c r="BH602" s="4">
        <v>28800</v>
      </c>
    </row>
    <row r="603" spans="6:60" hidden="1">
      <c r="F603" s="2" t="s">
        <v>733</v>
      </c>
      <c r="J603" t="s">
        <v>89</v>
      </c>
      <c r="K603" s="2" t="s">
        <v>557</v>
      </c>
      <c r="O603" s="3">
        <f t="shared" si="18"/>
        <v>2.6419999999999999</v>
      </c>
      <c r="P603" s="4">
        <v>0.26</v>
      </c>
      <c r="Q603">
        <f t="shared" si="19"/>
        <v>5.2000000000000005E-2</v>
      </c>
      <c r="R603" s="4">
        <v>2.59</v>
      </c>
      <c r="S603">
        <v>1</v>
      </c>
      <c r="V603">
        <v>1</v>
      </c>
      <c r="W603" s="4">
        <v>2.59</v>
      </c>
      <c r="X603" t="s">
        <v>91</v>
      </c>
      <c r="Y603">
        <v>0.75</v>
      </c>
      <c r="AA603">
        <v>0</v>
      </c>
      <c r="BF603" s="4">
        <v>1300</v>
      </c>
      <c r="BG603" s="4"/>
      <c r="BH603" s="4">
        <v>9100</v>
      </c>
    </row>
    <row r="604" spans="6:60" hidden="1">
      <c r="F604" s="2" t="s">
        <v>734</v>
      </c>
      <c r="J604" t="s">
        <v>89</v>
      </c>
      <c r="K604" s="2" t="s">
        <v>557</v>
      </c>
      <c r="O604" s="3">
        <f t="shared" si="18"/>
        <v>5.1059999999999999</v>
      </c>
      <c r="P604" s="4">
        <v>0.53</v>
      </c>
      <c r="Q604">
        <f t="shared" si="19"/>
        <v>0.10600000000000001</v>
      </c>
      <c r="R604" s="4">
        <v>5</v>
      </c>
      <c r="S604">
        <v>1</v>
      </c>
      <c r="V604">
        <v>1</v>
      </c>
      <c r="W604" s="4">
        <v>5</v>
      </c>
      <c r="X604" t="s">
        <v>91</v>
      </c>
      <c r="Y604">
        <v>0.75</v>
      </c>
      <c r="AA604">
        <v>0</v>
      </c>
      <c r="BF604" s="4">
        <v>2539</v>
      </c>
      <c r="BG604" s="4"/>
      <c r="BH604" s="4">
        <v>12683</v>
      </c>
    </row>
    <row r="605" spans="6:60" hidden="1">
      <c r="F605" s="2" t="s">
        <v>735</v>
      </c>
      <c r="J605" t="s">
        <v>89</v>
      </c>
      <c r="K605" s="2" t="s">
        <v>557</v>
      </c>
      <c r="O605" s="3">
        <f t="shared" si="18"/>
        <v>3.7480000000000002</v>
      </c>
      <c r="P605" s="4">
        <v>0.34</v>
      </c>
      <c r="Q605">
        <f t="shared" si="19"/>
        <v>6.8000000000000005E-2</v>
      </c>
      <c r="R605" s="4">
        <v>3.68</v>
      </c>
      <c r="S605">
        <v>1</v>
      </c>
      <c r="V605">
        <v>1</v>
      </c>
      <c r="W605" s="4">
        <v>3.68</v>
      </c>
      <c r="X605" t="s">
        <v>91</v>
      </c>
      <c r="Y605">
        <v>0.75</v>
      </c>
      <c r="AA605">
        <v>0</v>
      </c>
      <c r="BF605" s="4">
        <v>1413.77</v>
      </c>
      <c r="BG605" s="4"/>
      <c r="BH605" s="4">
        <v>9896.4</v>
      </c>
    </row>
    <row r="606" spans="6:60" hidden="1">
      <c r="F606" s="2" t="s">
        <v>736</v>
      </c>
      <c r="J606" t="s">
        <v>89</v>
      </c>
      <c r="K606" s="2" t="s">
        <v>557</v>
      </c>
      <c r="O606" s="3">
        <f t="shared" si="18"/>
        <v>1.3780000000000001</v>
      </c>
      <c r="P606" s="4">
        <v>0.09</v>
      </c>
      <c r="Q606">
        <f t="shared" si="19"/>
        <v>1.7999999999999999E-2</v>
      </c>
      <c r="R606" s="4">
        <v>1.36</v>
      </c>
      <c r="S606">
        <v>1</v>
      </c>
      <c r="V606">
        <v>1</v>
      </c>
      <c r="W606" s="4">
        <v>1.36</v>
      </c>
      <c r="X606" t="s">
        <v>91</v>
      </c>
      <c r="Y606">
        <v>0.75</v>
      </c>
      <c r="AA606">
        <v>0</v>
      </c>
      <c r="BF606" s="4">
        <v>492</v>
      </c>
      <c r="BG606" s="4"/>
      <c r="BH606" s="4">
        <v>3444.02</v>
      </c>
    </row>
    <row r="607" spans="6:60" hidden="1">
      <c r="F607" s="2" t="s">
        <v>737</v>
      </c>
      <c r="J607" t="s">
        <v>89</v>
      </c>
      <c r="K607" s="2" t="s">
        <v>557</v>
      </c>
      <c r="O607" s="3">
        <f t="shared" si="18"/>
        <v>1.8260000000000001</v>
      </c>
      <c r="P607" s="4">
        <v>0.08</v>
      </c>
      <c r="Q607">
        <f t="shared" si="19"/>
        <v>1.6E-2</v>
      </c>
      <c r="R607" s="4">
        <v>1.81</v>
      </c>
      <c r="S607">
        <v>1</v>
      </c>
      <c r="V607">
        <v>1</v>
      </c>
      <c r="W607" s="4">
        <v>1.81</v>
      </c>
      <c r="X607" t="s">
        <v>91</v>
      </c>
      <c r="Y607">
        <v>0.75</v>
      </c>
      <c r="AA607">
        <v>0</v>
      </c>
      <c r="BF607" s="4">
        <v>623.14</v>
      </c>
      <c r="BG607" s="4"/>
      <c r="BH607" s="4">
        <v>4362</v>
      </c>
    </row>
  </sheetData>
  <autoFilter ref="A1:CK607" xr:uid="{00000000-0009-0000-0000-000000000000}">
    <filterColumn colId="10">
      <filters>
        <filter val="PENDANT WITH DIAMOND"/>
      </filters>
    </filterColumn>
  </autoFilter>
  <conditionalFormatting sqref="K1:K1048576">
    <cfRule type="duplicateValues" dxfId="0" priority="1"/>
  </conditionalFormatting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0000000}">
          <x14:formula1>
            <xm:f>ListValues!$A$1:$A$8</xm:f>
          </x14:formula1>
          <xm:sqref>J2:J5000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1000000}">
          <x14:formula1>
            <xm:f>ListValues!$B$1:$B$1</xm:f>
          </x14:formula1>
          <xm:sqref>K608:K5000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2000000}">
          <x14:formula1>
            <xm:f>ListValues!$C$1:$C$4</xm:f>
          </x14:formula1>
          <xm:sqref>X2:X5000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3000000}">
          <x14:formula1>
            <xm:f>ListValues!$D$1:$D$7</xm:f>
          </x14:formula1>
          <xm:sqref>AN2:AN5000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4000000}">
          <x14:formula1>
            <xm:f>ListValues!$E$1:$E$7</xm:f>
          </x14:formula1>
          <xm:sqref>AR2:AR5000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5000000}">
          <x14:formula1>
            <xm:f>ListValues!$F$1:$F$2</xm:f>
          </x14:formula1>
          <xm:sqref>BA2:BA5000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6000000}">
          <x14:formula1>
            <xm:f>ListValues!$G$1:$G$3</xm:f>
          </x14:formula1>
          <xm:sqref>BK2:BK5000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7000000}">
          <x14:formula1>
            <xm:f>ListValues!$H$1:$H$2</xm:f>
          </x14:formula1>
          <xm:sqref>BN2:BN5000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defaultColWidth="9" defaultRowHeight="14.4"/>
  <sheetData>
    <row r="1" spans="1:8">
      <c r="A1" t="s">
        <v>738</v>
      </c>
      <c r="B1" t="s">
        <v>739</v>
      </c>
      <c r="C1" t="s">
        <v>740</v>
      </c>
      <c r="D1" t="s">
        <v>89</v>
      </c>
      <c r="E1" t="s">
        <v>89</v>
      </c>
      <c r="F1" t="s">
        <v>89</v>
      </c>
      <c r="G1" t="s">
        <v>741</v>
      </c>
      <c r="H1" t="s">
        <v>89</v>
      </c>
    </row>
    <row r="2" spans="1:8">
      <c r="A2" t="s">
        <v>742</v>
      </c>
      <c r="C2" t="s">
        <v>743</v>
      </c>
      <c r="D2" t="s">
        <v>744</v>
      </c>
      <c r="E2" t="s">
        <v>745</v>
      </c>
      <c r="F2" t="s">
        <v>745</v>
      </c>
      <c r="G2" t="s">
        <v>746</v>
      </c>
      <c r="H2" t="s">
        <v>747</v>
      </c>
    </row>
    <row r="3" spans="1:8">
      <c r="A3" t="s">
        <v>748</v>
      </c>
      <c r="C3" t="s">
        <v>749</v>
      </c>
      <c r="D3" t="s">
        <v>750</v>
      </c>
      <c r="E3" t="s">
        <v>751</v>
      </c>
      <c r="G3" t="s">
        <v>752</v>
      </c>
    </row>
    <row r="4" spans="1:8">
      <c r="A4" t="s">
        <v>753</v>
      </c>
      <c r="C4" t="s">
        <v>91</v>
      </c>
      <c r="D4" t="s">
        <v>754</v>
      </c>
      <c r="E4" t="s">
        <v>755</v>
      </c>
    </row>
    <row r="5" spans="1:8">
      <c r="A5" t="s">
        <v>756</v>
      </c>
      <c r="D5" t="s">
        <v>757</v>
      </c>
      <c r="E5" t="s">
        <v>758</v>
      </c>
    </row>
    <row r="6" spans="1:8">
      <c r="A6" t="s">
        <v>89</v>
      </c>
      <c r="D6" t="s">
        <v>759</v>
      </c>
      <c r="E6" t="s">
        <v>760</v>
      </c>
    </row>
    <row r="7" spans="1:8">
      <c r="A7" t="s">
        <v>761</v>
      </c>
      <c r="D7" t="s">
        <v>762</v>
      </c>
      <c r="E7" t="s">
        <v>763</v>
      </c>
    </row>
    <row r="8" spans="1:8">
      <c r="A8" t="s">
        <v>764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import</vt:lpstr>
      <vt:lpstr>ListValues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SHREYA CHITRIV</cp:lastModifiedBy>
  <dcterms:created xsi:type="dcterms:W3CDTF">2026-09-12T13:51:00Z</dcterms:created>
  <dcterms:modified xsi:type="dcterms:W3CDTF">2026-09-15T12:16:22Z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83AEBF8F3E3D4FCA8EBD8A15787A7F29_13</vt:lpwstr>
  </property>
</Properties>
</file>